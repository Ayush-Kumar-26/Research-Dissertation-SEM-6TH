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5CDE235-55DB-4F00-B248-158B911CACD2}" xr6:coauthVersionLast="47" xr6:coauthVersionMax="47" xr10:uidLastSave="{00000000-0000-0000-0000-000000000000}"/>
  <bookViews>
    <workbookView xWindow="-110" yWindow="-110" windowWidth="19420" windowHeight="11020" activeTab="3" xr2:uid="{00000000-000D-0000-FFFF-FFFF00000000}"/>
  </bookViews>
  <sheets>
    <sheet name="Sheet1" sheetId="2" r:id="rId1"/>
    <sheet name="Sheet2" sheetId="3" r:id="rId2"/>
    <sheet name="Sheet3" sheetId="4" r:id="rId3"/>
    <sheet name="Sheet4" sheetId="5" r:id="rId4"/>
    <sheet name="Form responses 1" sheetId="1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5" l="1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</calcChain>
</file>

<file path=xl/sharedStrings.xml><?xml version="1.0" encoding="utf-8"?>
<sst xmlns="http://schemas.openxmlformats.org/spreadsheetml/2006/main" count="135" uniqueCount="40">
  <si>
    <t>18-25</t>
  </si>
  <si>
    <t>Frequently</t>
  </si>
  <si>
    <t>Somewhat familiar (used once or twice)</t>
  </si>
  <si>
    <t>Occasionally</t>
  </si>
  <si>
    <t>Very familiar (used often)</t>
  </si>
  <si>
    <t>Aware but rarely used</t>
  </si>
  <si>
    <t>Rarely</t>
  </si>
  <si>
    <t>Above 35</t>
  </si>
  <si>
    <t>26-35</t>
  </si>
  <si>
    <t>Below 18</t>
  </si>
  <si>
    <t>Row Labels</t>
  </si>
  <si>
    <t>Grand Total</t>
  </si>
  <si>
    <t>Count of   Section A: Basic Information
  Q2. How often do you shop online?</t>
  </si>
  <si>
    <t xml:space="preserve">Count of   Section A: Basic Information
  Q3. How familiar are you with AI chatbots on e-commerce websites?
</t>
  </si>
  <si>
    <t>Mean Score Analysis</t>
  </si>
  <si>
    <t>Q4</t>
  </si>
  <si>
    <t>Q5</t>
  </si>
  <si>
    <t>Q6</t>
  </si>
  <si>
    <t>Q7</t>
  </si>
  <si>
    <t>Q8</t>
  </si>
  <si>
    <t>Q9</t>
  </si>
  <si>
    <t>Q10</t>
  </si>
  <si>
    <t>Interpretation</t>
  </si>
  <si>
    <t>Agree</t>
  </si>
  <si>
    <t>Neutral</t>
  </si>
  <si>
    <t>Mean Range</t>
  </si>
  <si>
    <t>Strongly Disagree</t>
  </si>
  <si>
    <t>Disagree</t>
  </si>
  <si>
    <t>Strongly Agree</t>
  </si>
  <si>
    <t xml:space="preserve">Q1_Age
  Q1. Age group  </t>
  </si>
  <si>
    <t>Q2_ShoppingFrequency
  Q2. How often do you shop online?</t>
  </si>
  <si>
    <t xml:space="preserve">Q3_ChatbotFamiliarity
  Q3. How familiar are you with AI chatbots on e-commerce websites?
</t>
  </si>
  <si>
    <t xml:space="preserve">Q4_EasyToUse
  (1 = Strongly Disagree, 5 = Strongly Agree)   
   Q4. The chatbot was easy to use  
</t>
  </si>
  <si>
    <t xml:space="preserve">Q5_UnderstandsEmotions
</t>
  </si>
  <si>
    <t xml:space="preserve">Q6_HelpedPurchaseDecision
  (1 = Strongly Disagree, 5 = Strongly Agree)   
  Q6. The chatbot helped me make a purchase decision 
</t>
  </si>
  <si>
    <t xml:space="preserve">Q7_HelpedChooseFeatures
  (1 = Strongly Disagree, 5 = Strongly Agree)   
  Q7. The chatbot helped me choose product features (size, color, design, etc.) 
</t>
  </si>
  <si>
    <t xml:space="preserve">Q8_FeltConfident
  (1 = Strongly Disagree, 5 = Strongly Agree)   
  Q8. I felt more confident after interacting with the chatbot 
</t>
  </si>
  <si>
    <t xml:space="preserve">Q9_OverallSatisfaction 
  (1 = Strongly Disagree, 5 = Strongly Agree)   
  Q9. Overall, I am satisfied with the chatbot service 
</t>
  </si>
  <si>
    <t xml:space="preserve">Q10_PreferChatbotWebsites 
  (1 = Strongly Disagree, 5 = Strongly Agree)   
  Q10. I would prefer shopping on websites that provide chatbot support 
</t>
  </si>
  <si>
    <t xml:space="preserve">Age Group
  Q1. Age group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</si>
</sst>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6" xfId="0" applyBorder="1" applyAlignment="1">
      <alignment horizontal="left"/>
    </xf>
    <xf numFmtId="10" fontId="0" fillId="0" borderId="3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[Google Form (Responses) (1).xlsx]Sheet1!PivotTable1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Age Group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168-48F0-9BB5-57AF645AAC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DB1-4BC0-8722-2149DE8E24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DB1-4BC0-8722-2149DE8E24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DB1-4BC0-8722-2149DE8E24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Sheet1!$A$4:$A$8</c:f>
              <c:strCache>
                <c:ptCount val="4"/>
                <c:pt idx="0">
                  <c:v>18-25</c:v>
                </c:pt>
                <c:pt idx="1">
                  <c:v>26-35</c:v>
                </c:pt>
                <c:pt idx="2">
                  <c:v>Above 35</c:v>
                </c:pt>
                <c:pt idx="3">
                  <c:v>Below 18</c:v>
                </c:pt>
              </c:strCache>
            </c:strRef>
          </c:cat>
          <c:val>
            <c:numRef>
              <c:f>Sheet1!$B$4:$B$8</c:f>
              <c:numCache>
                <c:formatCode>0.00%</c:formatCode>
                <c:ptCount val="4"/>
                <c:pt idx="0">
                  <c:v>0.6</c:v>
                </c:pt>
                <c:pt idx="1">
                  <c:v>0.1</c:v>
                </c:pt>
                <c:pt idx="2">
                  <c:v>0.26666666666666666</c:v>
                </c:pt>
                <c:pt idx="3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68-48F0-9BB5-57AF645AACA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1927225</xdr:colOff>
      <xdr:row>8</xdr:row>
      <xdr:rowOff>155575</xdr:rowOff>
    </xdr:from>
    <xdr:to>
      <xdr:col>7</xdr:col>
      <xdr:colOff>9525</xdr:colOff>
      <xdr:row>26</xdr:row>
      <xdr:rowOff>41275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BECA08-F9DB-B2A0-C343-F81F31AA5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54.536109722219" createdVersion="8" refreshedVersion="8" minRefreshableVersion="3" recordCount="31" xr:uid="{E850C627-3A7B-48E0-833E-A1E369DD76B6}">
  <cacheSource type="worksheet">
    <worksheetSource ref="C1:C1048576" sheet="Form responses 1"/>
  </cacheSource>
  <cacheFields count="1">
    <cacheField name="  Section A: Basic Information_x000a__x000a_  Q1. Age group  " numFmtId="0">
      <sharedItems containsBlank="1" count="5">
        <s v="18-25"/>
        <s v="Above 35"/>
        <s v="26-35"/>
        <s v="Below 1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54.550126620372" createdVersion="8" refreshedVersion="8" minRefreshableVersion="3" recordCount="31" xr:uid="{8A00236D-75AE-426A-8DEF-D3EF78F22683}">
  <cacheSource type="worksheet">
    <worksheetSource ref="D1:D1048576" sheet="Form responses 1"/>
  </cacheSource>
  <cacheFields count="1">
    <cacheField name="  Section A: Basic Information_x000a__x000a_  Q2. How often do you shop online?" numFmtId="0">
      <sharedItems containsBlank="1" count="4">
        <s v="Frequently"/>
        <s v="Occasionally"/>
        <s v="Rare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54.553917476849" createdVersion="8" refreshedVersion="8" minRefreshableVersion="3" recordCount="31" xr:uid="{97AD5D98-D59B-4D77-93B0-057829BF077C}">
  <cacheSource type="worksheet">
    <worksheetSource ref="E1:E1048576" sheet="Form responses 1"/>
  </cacheSource>
  <cacheFields count="1">
    <cacheField name="  Section A: Basic Information_x000a__x000a_  Q3. How familiar are you with AI chatbots on e-commerce websites?_x000a_" numFmtId="0">
      <sharedItems containsBlank="1" count="4">
        <s v="Somewhat familiar (used once or twice)"/>
        <s v="Very familiar (used often)"/>
        <s v="Aware but rarely u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0"/>
  </r>
  <r>
    <x v="2"/>
  </r>
  <r>
    <x v="1"/>
  </r>
  <r>
    <x v="3"/>
  </r>
  <r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2"/>
  </r>
  <r>
    <x v="0"/>
  </r>
  <r>
    <x v="0"/>
  </r>
  <r>
    <x v="0"/>
  </r>
  <r>
    <x v="1"/>
  </r>
  <r>
    <x v="1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</r>
  <r>
    <x v="1"/>
  </r>
  <r>
    <x v="0"/>
  </r>
  <r>
    <x v="1"/>
  </r>
  <r>
    <x v="1"/>
  </r>
  <r>
    <x v="1"/>
  </r>
  <r>
    <x v="2"/>
  </r>
  <r>
    <x v="0"/>
  </r>
  <r>
    <x v="2"/>
  </r>
  <r>
    <x v="1"/>
  </r>
  <r>
    <x v="2"/>
  </r>
  <r>
    <x v="1"/>
  </r>
  <r>
    <x v="1"/>
  </r>
  <r>
    <x v="1"/>
  </r>
  <r>
    <x v="0"/>
  </r>
  <r>
    <x v="1"/>
  </r>
  <r>
    <x v="1"/>
  </r>
  <r>
    <x v="2"/>
  </r>
  <r>
    <x v="0"/>
  </r>
  <r>
    <x v="1"/>
  </r>
  <r>
    <x v="2"/>
  </r>
  <r>
    <x v="1"/>
  </r>
  <r>
    <x v="1"/>
  </r>
  <r>
    <x v="0"/>
  </r>
  <r>
    <x v="2"/>
  </r>
  <r>
    <x v="0"/>
  </r>
  <r>
    <x v="1"/>
  </r>
  <r>
    <x v="0"/>
  </r>
  <r>
    <x v="2"/>
  </r>
  <r>
    <x v="1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A3687-615A-4CEC-BB16-B1A33F17A76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8" firstHeaderRow="1" firstDataRow="1" firstDataCol="1"/>
  <pivotFields count="1">
    <pivotField axis="axisRow" dataField="1" showAll="0" sortType="ascending">
      <items count="6">
        <item x="0"/>
        <item x="2"/>
        <item x="1"/>
        <item x="3"/>
        <item h="1" x="4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ge Group_x000a__x000a_  Q1. Age group  " fld="0" subtotal="count" showDataAs="percentOfTotal" baseField="0" baseItem="0" numFmtId="10"/>
  </dataField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A602B-0842-4C9D-B63F-E5D37DB6040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  Section A: Basic Information_x000a__x000a_  Q2. How often do you shop online?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94DCF4-86D7-42F4-9147-F3AF66CD63E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">
    <pivotField axis="axisRow" dataField="1" showAll="0">
      <items count="5">
        <item x="2"/>
        <item x="0"/>
        <item x="1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  Section A: Basic Information_x000a__x000a_  Q3. How familiar are you with AI chatbots on e-commerce websites?_x000a_" fld="0" subtotal="count" showDataAs="percentOfTotal" baseField="0" baseItem="0" numFmtId="1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J31">
  <tableColumns count="10">
    <tableColumn id="3" xr3:uid="{00000000-0010-0000-0000-000003000000}" name="Q1_Age_x000a__x000a_  Q1. Age group  "/>
    <tableColumn id="4" xr3:uid="{00000000-0010-0000-0000-000004000000}" name="Q2_ShoppingFrequency_x000a__x000a_  Q2. How often do you shop online?"/>
    <tableColumn id="5" xr3:uid="{00000000-0010-0000-0000-000005000000}" name="Q3_ChatbotFamiliarity_x000a__x000a_  Q3. How familiar are you with AI chatbots on e-commerce websites?_x000a_"/>
    <tableColumn id="6" xr3:uid="{00000000-0010-0000-0000-000006000000}" name="Q4_EasyToUse_x000a_  (1 = Strongly Disagree, 5 = Strongly Agree)   _x000a__x000a_   Q4. The chatbot was easy to use  _x000a_"/>
    <tableColumn id="7" xr3:uid="{00000000-0010-0000-0000-000007000000}" name="Q5_UnderstandsEmotions_x000a_"/>
    <tableColumn id="8" xr3:uid="{00000000-0010-0000-0000-000008000000}" name="Q6_HelpedPurchaseDecision_x000a_  (1 = Strongly Disagree, 5 = Strongly Agree)   _x000a__x000a_  Q6. The chatbot helped me make a purchase decision _x000a_"/>
    <tableColumn id="9" xr3:uid="{00000000-0010-0000-0000-000009000000}" name="Q7_HelpedChooseFeatures_x000a_  (1 = Strongly Disagree, 5 = Strongly Agree)   _x000a__x000a_  Q7. The chatbot helped me choose product features (size, color, design, etc.) _x000a_"/>
    <tableColumn id="10" xr3:uid="{00000000-0010-0000-0000-00000A000000}" name="Q8_FeltConfident_x000a_  (1 = Strongly Disagree, 5 = Strongly Agree)   _x000a__x000a_  Q8. I felt more confident after interacting with the chatbot _x000a_"/>
    <tableColumn id="11" xr3:uid="{00000000-0010-0000-0000-00000B000000}" name="Q9_OverallSatisfaction _x000a_  (1 = Strongly Disagree, 5 = Strongly Agree)   _x000a__x000a_  Q9. Overall, I am satisfied with the chatbot service _x000a_"/>
    <tableColumn id="12" xr3:uid="{00000000-0010-0000-0000-00000C000000}" name="Q10_PreferChatbotWebsites _x000a_  (1 = Strongly Disagree, 5 = Strongly Agree)   _x000a__x000a_  Q10. I would prefer shopping on websites that provide chatbot support _x000a_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A764D-2742-4528-96A8-E61FC304E218}">
  <dimension ref="A3:B8"/>
  <sheetViews>
    <sheetView topLeftCell="A2" workbookViewId="0">
      <selection activeCell="B13" sqref="B13"/>
    </sheetView>
  </sheetViews>
  <sheetFormatPr defaultRowHeight="12.5" x14ac:dyDescent="0.25"/>
  <cols>
    <col min="1" max="1" width="12.54296875" bestFit="1" customWidth="1"/>
    <col min="2" max="2" width="49.26953125" bestFit="1" customWidth="1"/>
  </cols>
  <sheetData>
    <row r="3" spans="1:2" x14ac:dyDescent="0.25">
      <c r="A3" s="2" t="s">
        <v>10</v>
      </c>
      <c r="B3" s="3" t="s">
        <v>39</v>
      </c>
    </row>
    <row r="4" spans="1:2" x14ac:dyDescent="0.25">
      <c r="A4" s="4" t="s">
        <v>0</v>
      </c>
      <c r="B4" s="7">
        <v>0.6</v>
      </c>
    </row>
    <row r="5" spans="1:2" x14ac:dyDescent="0.25">
      <c r="A5" s="5" t="s">
        <v>8</v>
      </c>
      <c r="B5" s="8">
        <v>0.1</v>
      </c>
    </row>
    <row r="6" spans="1:2" x14ac:dyDescent="0.25">
      <c r="A6" s="5" t="s">
        <v>7</v>
      </c>
      <c r="B6" s="8">
        <v>0.26666666666666666</v>
      </c>
    </row>
    <row r="7" spans="1:2" x14ac:dyDescent="0.25">
      <c r="A7" s="5" t="s">
        <v>9</v>
      </c>
      <c r="B7" s="8">
        <v>3.3333333333333333E-2</v>
      </c>
    </row>
    <row r="8" spans="1:2" x14ac:dyDescent="0.25">
      <c r="A8" s="6" t="s">
        <v>11</v>
      </c>
      <c r="B8" s="9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D61D-3DE5-4E43-99DC-B3050931B709}">
  <dimension ref="A3:B7"/>
  <sheetViews>
    <sheetView workbookViewId="0">
      <selection activeCell="B6" sqref="B6"/>
    </sheetView>
  </sheetViews>
  <sheetFormatPr defaultRowHeight="12.5" x14ac:dyDescent="0.25"/>
  <cols>
    <col min="1" max="1" width="12.54296875" bestFit="1" customWidth="1"/>
    <col min="2" max="2" width="64.7265625" bestFit="1" customWidth="1"/>
  </cols>
  <sheetData>
    <row r="3" spans="1:2" x14ac:dyDescent="0.25">
      <c r="A3" s="2" t="s">
        <v>10</v>
      </c>
      <c r="B3" s="3" t="s">
        <v>12</v>
      </c>
    </row>
    <row r="4" spans="1:2" x14ac:dyDescent="0.25">
      <c r="A4" s="4" t="s">
        <v>1</v>
      </c>
      <c r="B4" s="7">
        <v>0.4</v>
      </c>
    </row>
    <row r="5" spans="1:2" x14ac:dyDescent="0.25">
      <c r="A5" s="5" t="s">
        <v>3</v>
      </c>
      <c r="B5" s="8">
        <v>0.5</v>
      </c>
    </row>
    <row r="6" spans="1:2" x14ac:dyDescent="0.25">
      <c r="A6" s="5" t="s">
        <v>6</v>
      </c>
      <c r="B6" s="8">
        <v>0.1</v>
      </c>
    </row>
    <row r="7" spans="1:2" x14ac:dyDescent="0.25">
      <c r="A7" s="6" t="s">
        <v>11</v>
      </c>
      <c r="B7" s="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4FCE-4BB3-4673-B327-98F8B8201C3F}">
  <dimension ref="A3:B7"/>
  <sheetViews>
    <sheetView workbookViewId="0">
      <selection activeCell="B25" sqref="B25"/>
    </sheetView>
  </sheetViews>
  <sheetFormatPr defaultRowHeight="12.5" x14ac:dyDescent="0.25"/>
  <cols>
    <col min="1" max="1" width="32.90625" bestFit="1" customWidth="1"/>
    <col min="2" max="2" width="93.6328125" bestFit="1" customWidth="1"/>
  </cols>
  <sheetData>
    <row r="3" spans="1:2" x14ac:dyDescent="0.25">
      <c r="A3" s="2" t="s">
        <v>10</v>
      </c>
      <c r="B3" s="3" t="s">
        <v>13</v>
      </c>
    </row>
    <row r="4" spans="1:2" x14ac:dyDescent="0.25">
      <c r="A4" s="4" t="s">
        <v>5</v>
      </c>
      <c r="B4" s="7">
        <v>0.23333333333333334</v>
      </c>
    </row>
    <row r="5" spans="1:2" x14ac:dyDescent="0.25">
      <c r="A5" s="5" t="s">
        <v>2</v>
      </c>
      <c r="B5" s="8">
        <v>0.26666666666666666</v>
      </c>
    </row>
    <row r="6" spans="1:2" x14ac:dyDescent="0.25">
      <c r="A6" s="5" t="s">
        <v>4</v>
      </c>
      <c r="B6" s="8">
        <v>0.5</v>
      </c>
    </row>
    <row r="7" spans="1:2" x14ac:dyDescent="0.25">
      <c r="A7" s="6" t="s">
        <v>11</v>
      </c>
      <c r="B7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6235-2BC6-4267-B466-C1FCF2B51E4D}">
  <dimension ref="A1:H16"/>
  <sheetViews>
    <sheetView tabSelected="1" workbookViewId="0">
      <selection activeCell="B2" sqref="B2"/>
    </sheetView>
  </sheetViews>
  <sheetFormatPr defaultRowHeight="12.5" x14ac:dyDescent="0.25"/>
  <cols>
    <col min="1" max="1" width="18.26953125" customWidth="1"/>
    <col min="2" max="2" width="13.54296875" customWidth="1"/>
    <col min="3" max="3" width="17.90625" customWidth="1"/>
    <col min="7" max="7" width="15.08984375" customWidth="1"/>
    <col min="8" max="8" width="18.7265625" customWidth="1"/>
  </cols>
  <sheetData>
    <row r="1" spans="1:8" x14ac:dyDescent="0.25">
      <c r="A1" t="s">
        <v>14</v>
      </c>
      <c r="C1" t="s">
        <v>22</v>
      </c>
    </row>
    <row r="2" spans="1:8" x14ac:dyDescent="0.25">
      <c r="A2" s="10" t="s">
        <v>15</v>
      </c>
      <c r="B2">
        <f>AVERAGE('Form responses 1'!D:D)</f>
        <v>3.8</v>
      </c>
      <c r="C2" s="12" t="str">
        <f>VLOOKUP(B2,$G$11:$H$16,2,1)</f>
        <v>Agree</v>
      </c>
    </row>
    <row r="3" spans="1:8" x14ac:dyDescent="0.25">
      <c r="A3" s="10" t="s">
        <v>16</v>
      </c>
      <c r="B3">
        <f>AVERAGE('Form responses 1'!E:E)</f>
        <v>3.0666666666666669</v>
      </c>
      <c r="C3" s="12" t="str">
        <f t="shared" ref="C3:C8" si="0">VLOOKUP(B3,$G$11:$H$16,2,1)</f>
        <v>Neutral</v>
      </c>
    </row>
    <row r="4" spans="1:8" x14ac:dyDescent="0.25">
      <c r="A4" s="10" t="s">
        <v>17</v>
      </c>
      <c r="B4">
        <f>AVERAGE('Form responses 1'!F:F)</f>
        <v>2.8</v>
      </c>
      <c r="C4" s="12" t="str">
        <f t="shared" si="0"/>
        <v>Neutral</v>
      </c>
    </row>
    <row r="5" spans="1:8" x14ac:dyDescent="0.25">
      <c r="A5" s="10" t="s">
        <v>18</v>
      </c>
      <c r="B5">
        <f>AVERAGE('Form responses 1'!G:G)</f>
        <v>3.0666666666666669</v>
      </c>
      <c r="C5" s="12" t="str">
        <f t="shared" si="0"/>
        <v>Neutral</v>
      </c>
    </row>
    <row r="6" spans="1:8" x14ac:dyDescent="0.25">
      <c r="A6" s="10" t="s">
        <v>19</v>
      </c>
      <c r="B6">
        <f>AVERAGE('Form responses 1'!H:H)</f>
        <v>3.1</v>
      </c>
      <c r="C6" s="12" t="str">
        <f t="shared" si="0"/>
        <v>Neutral</v>
      </c>
    </row>
    <row r="7" spans="1:8" x14ac:dyDescent="0.25">
      <c r="A7" s="10" t="s">
        <v>20</v>
      </c>
      <c r="B7">
        <f>AVERAGE('Form responses 1'!I:I)</f>
        <v>3.2666666666666666</v>
      </c>
      <c r="C7" s="12" t="str">
        <f t="shared" si="0"/>
        <v>Neutral</v>
      </c>
    </row>
    <row r="8" spans="1:8" x14ac:dyDescent="0.25">
      <c r="A8" s="10" t="s">
        <v>21</v>
      </c>
      <c r="B8">
        <f>AVERAGE('Form responses 1'!J:J)</f>
        <v>3.3666666666666667</v>
      </c>
      <c r="C8" s="12" t="str">
        <f t="shared" si="0"/>
        <v>Neutral</v>
      </c>
    </row>
    <row r="11" spans="1:8" ht="13" x14ac:dyDescent="0.25">
      <c r="G11" s="13" t="s">
        <v>25</v>
      </c>
      <c r="H11" s="13" t="s">
        <v>22</v>
      </c>
    </row>
    <row r="12" spans="1:8" x14ac:dyDescent="0.25">
      <c r="G12" s="11">
        <v>1</v>
      </c>
      <c r="H12" s="11" t="s">
        <v>26</v>
      </c>
    </row>
    <row r="13" spans="1:8" x14ac:dyDescent="0.25">
      <c r="G13" s="11">
        <v>1.81</v>
      </c>
      <c r="H13" s="11" t="s">
        <v>27</v>
      </c>
    </row>
    <row r="14" spans="1:8" x14ac:dyDescent="0.25">
      <c r="G14" s="11">
        <v>2.61</v>
      </c>
      <c r="H14" s="11" t="s">
        <v>24</v>
      </c>
    </row>
    <row r="15" spans="1:8" x14ac:dyDescent="0.25">
      <c r="G15" s="11">
        <v>3.41</v>
      </c>
      <c r="H15" s="11" t="s">
        <v>23</v>
      </c>
    </row>
    <row r="16" spans="1:8" x14ac:dyDescent="0.25">
      <c r="G16" s="11">
        <v>4.21</v>
      </c>
      <c r="H16" s="11" t="s">
        <v>28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31"/>
  <sheetViews>
    <sheetView workbookViewId="0">
      <pane ySplit="1" topLeftCell="A2" activePane="bottomLeft" state="frozen"/>
      <selection pane="bottomLeft" activeCell="J1" sqref="J1"/>
    </sheetView>
  </sheetViews>
  <sheetFormatPr defaultColWidth="12.6328125" defaultRowHeight="15.75" customHeight="1" x14ac:dyDescent="0.25"/>
  <cols>
    <col min="1" max="2" width="18.90625" customWidth="1"/>
    <col min="3" max="3" width="34.08984375" customWidth="1"/>
    <col min="4" max="4" width="38.1796875" customWidth="1"/>
    <col min="5" max="5" width="38.36328125" customWidth="1"/>
    <col min="6" max="6" width="39.6328125" customWidth="1"/>
    <col min="7" max="7" width="38.1796875" customWidth="1"/>
    <col min="8" max="12" width="37.6328125" customWidth="1"/>
    <col min="13" max="18" width="18.90625" customWidth="1"/>
  </cols>
  <sheetData>
    <row r="1" spans="1:10" ht="22.5" customHeight="1" x14ac:dyDescent="0.25">
      <c r="A1" s="14" t="s">
        <v>29</v>
      </c>
      <c r="B1" s="14" t="s">
        <v>30</v>
      </c>
      <c r="C1" s="14" t="s">
        <v>31</v>
      </c>
      <c r="D1" s="14" t="s">
        <v>32</v>
      </c>
      <c r="E1" s="14" t="s">
        <v>33</v>
      </c>
      <c r="F1" s="14" t="s">
        <v>34</v>
      </c>
      <c r="G1" s="14" t="s">
        <v>35</v>
      </c>
      <c r="H1" s="14" t="s">
        <v>36</v>
      </c>
      <c r="I1" s="14" t="s">
        <v>37</v>
      </c>
      <c r="J1" s="14" t="s">
        <v>38</v>
      </c>
    </row>
    <row r="2" spans="1:10" ht="22.5" customHeight="1" x14ac:dyDescent="0.25">
      <c r="A2" s="1" t="s">
        <v>0</v>
      </c>
      <c r="B2" s="1" t="s">
        <v>1</v>
      </c>
      <c r="C2" s="1" t="s">
        <v>2</v>
      </c>
      <c r="D2" s="1">
        <v>5</v>
      </c>
      <c r="E2" s="1">
        <v>5</v>
      </c>
      <c r="F2" s="1">
        <v>5</v>
      </c>
      <c r="G2" s="1">
        <v>5</v>
      </c>
      <c r="H2" s="1">
        <v>5</v>
      </c>
      <c r="I2" s="1">
        <v>5</v>
      </c>
      <c r="J2" s="1">
        <v>5</v>
      </c>
    </row>
    <row r="3" spans="1:10" ht="22.5" customHeight="1" x14ac:dyDescent="0.25">
      <c r="A3" s="1" t="s">
        <v>0</v>
      </c>
      <c r="B3" s="1" t="s">
        <v>3</v>
      </c>
      <c r="C3" s="1" t="s">
        <v>4</v>
      </c>
      <c r="D3" s="1">
        <v>5</v>
      </c>
      <c r="E3" s="1">
        <v>4</v>
      </c>
      <c r="F3" s="1">
        <v>5</v>
      </c>
      <c r="G3" s="1">
        <v>5</v>
      </c>
      <c r="H3" s="1">
        <v>5</v>
      </c>
      <c r="I3" s="1">
        <v>5</v>
      </c>
      <c r="J3" s="1">
        <v>5</v>
      </c>
    </row>
    <row r="4" spans="1:10" ht="22.5" customHeight="1" x14ac:dyDescent="0.25">
      <c r="A4" s="1" t="s">
        <v>0</v>
      </c>
      <c r="B4" s="1" t="s">
        <v>1</v>
      </c>
      <c r="C4" s="1" t="s">
        <v>2</v>
      </c>
      <c r="D4" s="1">
        <v>4</v>
      </c>
      <c r="E4" s="1">
        <v>2</v>
      </c>
      <c r="F4" s="1">
        <v>2</v>
      </c>
      <c r="G4" s="1">
        <v>3</v>
      </c>
      <c r="H4" s="1">
        <v>3</v>
      </c>
      <c r="I4" s="1">
        <v>2</v>
      </c>
      <c r="J4" s="1">
        <v>2</v>
      </c>
    </row>
    <row r="5" spans="1:10" ht="22.5" customHeight="1" x14ac:dyDescent="0.25">
      <c r="A5" s="1" t="s">
        <v>0</v>
      </c>
      <c r="B5" s="1" t="s">
        <v>3</v>
      </c>
      <c r="C5" s="1" t="s">
        <v>4</v>
      </c>
      <c r="D5" s="1">
        <v>5</v>
      </c>
      <c r="E5" s="1">
        <v>4</v>
      </c>
      <c r="F5" s="1">
        <v>2</v>
      </c>
      <c r="G5" s="1">
        <v>4</v>
      </c>
      <c r="H5" s="1">
        <v>5</v>
      </c>
      <c r="I5" s="1">
        <v>3</v>
      </c>
      <c r="J5" s="1">
        <v>3</v>
      </c>
    </row>
    <row r="6" spans="1:10" ht="22.5" customHeight="1" x14ac:dyDescent="0.25">
      <c r="A6" s="1" t="s">
        <v>0</v>
      </c>
      <c r="B6" s="1" t="s">
        <v>3</v>
      </c>
      <c r="C6" s="1" t="s">
        <v>4</v>
      </c>
      <c r="D6" s="1">
        <v>4</v>
      </c>
      <c r="E6" s="1">
        <v>3</v>
      </c>
      <c r="F6" s="1">
        <v>3</v>
      </c>
      <c r="G6" s="1">
        <v>3</v>
      </c>
      <c r="H6" s="1">
        <v>3</v>
      </c>
      <c r="I6" s="1">
        <v>4</v>
      </c>
      <c r="J6" s="1">
        <v>3</v>
      </c>
    </row>
    <row r="7" spans="1:10" ht="22.5" customHeight="1" x14ac:dyDescent="0.25">
      <c r="A7" s="1" t="s">
        <v>0</v>
      </c>
      <c r="B7" s="1" t="s">
        <v>3</v>
      </c>
      <c r="C7" s="1" t="s">
        <v>4</v>
      </c>
      <c r="D7" s="1">
        <v>4</v>
      </c>
      <c r="E7" s="1">
        <v>1</v>
      </c>
      <c r="F7" s="1">
        <v>3</v>
      </c>
      <c r="G7" s="1">
        <v>3</v>
      </c>
      <c r="H7" s="1">
        <v>3</v>
      </c>
      <c r="I7" s="1">
        <v>3</v>
      </c>
      <c r="J7" s="1">
        <v>3</v>
      </c>
    </row>
    <row r="8" spans="1:10" ht="22.5" customHeight="1" x14ac:dyDescent="0.25">
      <c r="A8" s="1" t="s">
        <v>0</v>
      </c>
      <c r="B8" s="1" t="s">
        <v>3</v>
      </c>
      <c r="C8" s="1" t="s">
        <v>5</v>
      </c>
      <c r="D8" s="1">
        <v>3</v>
      </c>
      <c r="E8" s="1">
        <v>2</v>
      </c>
      <c r="F8" s="1">
        <v>2</v>
      </c>
      <c r="G8" s="1">
        <v>3</v>
      </c>
      <c r="H8" s="1">
        <v>3</v>
      </c>
      <c r="I8" s="1">
        <v>3</v>
      </c>
      <c r="J8" s="1">
        <v>3</v>
      </c>
    </row>
    <row r="9" spans="1:10" ht="22.5" customHeight="1" x14ac:dyDescent="0.25">
      <c r="A9" s="1" t="s">
        <v>0</v>
      </c>
      <c r="B9" s="1" t="s">
        <v>1</v>
      </c>
      <c r="C9" s="1" t="s">
        <v>2</v>
      </c>
      <c r="D9" s="1">
        <v>4</v>
      </c>
      <c r="E9" s="1">
        <v>4</v>
      </c>
      <c r="F9" s="1">
        <v>3</v>
      </c>
      <c r="G9" s="1">
        <v>3</v>
      </c>
      <c r="H9" s="1">
        <v>4</v>
      </c>
      <c r="I9" s="1">
        <v>4</v>
      </c>
      <c r="J9" s="1">
        <v>4</v>
      </c>
    </row>
    <row r="10" spans="1:10" ht="22.5" customHeight="1" x14ac:dyDescent="0.25">
      <c r="A10" s="1" t="s">
        <v>0</v>
      </c>
      <c r="B10" s="1" t="s">
        <v>3</v>
      </c>
      <c r="C10" s="1" t="s">
        <v>5</v>
      </c>
      <c r="D10" s="1">
        <v>5</v>
      </c>
      <c r="E10" s="1">
        <v>4</v>
      </c>
      <c r="F10" s="1">
        <v>4</v>
      </c>
      <c r="G10" s="1">
        <v>4</v>
      </c>
      <c r="H10" s="1">
        <v>4</v>
      </c>
      <c r="I10" s="1">
        <v>3</v>
      </c>
      <c r="J10" s="1">
        <v>1</v>
      </c>
    </row>
    <row r="11" spans="1:10" ht="22.5" customHeight="1" x14ac:dyDescent="0.25">
      <c r="A11" s="1" t="s">
        <v>0</v>
      </c>
      <c r="B11" s="1" t="s">
        <v>1</v>
      </c>
      <c r="C11" s="1" t="s">
        <v>4</v>
      </c>
      <c r="D11" s="1">
        <v>3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</row>
    <row r="12" spans="1:10" ht="22.5" customHeight="1" x14ac:dyDescent="0.25">
      <c r="A12" s="1" t="s">
        <v>0</v>
      </c>
      <c r="B12" s="1" t="s">
        <v>3</v>
      </c>
      <c r="C12" s="1" t="s">
        <v>5</v>
      </c>
      <c r="D12" s="1">
        <v>5</v>
      </c>
      <c r="E12" s="1">
        <v>4</v>
      </c>
      <c r="F12" s="1">
        <v>3</v>
      </c>
      <c r="G12" s="1">
        <v>5</v>
      </c>
      <c r="H12" s="1">
        <v>5</v>
      </c>
      <c r="I12" s="1">
        <v>4</v>
      </c>
      <c r="J12" s="1">
        <v>5</v>
      </c>
    </row>
    <row r="13" spans="1:10" ht="22.5" customHeight="1" x14ac:dyDescent="0.25">
      <c r="A13" s="1" t="s">
        <v>0</v>
      </c>
      <c r="B13" s="1" t="s">
        <v>6</v>
      </c>
      <c r="C13" s="1" t="s">
        <v>4</v>
      </c>
      <c r="D13" s="1">
        <v>5</v>
      </c>
      <c r="E13" s="1">
        <v>3</v>
      </c>
      <c r="F13" s="1">
        <v>2</v>
      </c>
      <c r="G13" s="1">
        <v>4</v>
      </c>
      <c r="H13" s="1">
        <v>3</v>
      </c>
      <c r="I13" s="1">
        <v>4</v>
      </c>
      <c r="J13" s="1">
        <v>4</v>
      </c>
    </row>
    <row r="14" spans="1:10" ht="22.5" customHeight="1" x14ac:dyDescent="0.25">
      <c r="A14" s="1" t="s">
        <v>0</v>
      </c>
      <c r="B14" s="1" t="s">
        <v>1</v>
      </c>
      <c r="C14" s="1" t="s">
        <v>4</v>
      </c>
      <c r="D14" s="1">
        <v>5</v>
      </c>
      <c r="E14" s="1">
        <v>5</v>
      </c>
      <c r="F14" s="1">
        <v>5</v>
      </c>
      <c r="G14" s="1">
        <v>5</v>
      </c>
      <c r="H14" s="1">
        <v>5</v>
      </c>
      <c r="I14" s="1">
        <v>5</v>
      </c>
      <c r="J14" s="1">
        <v>5</v>
      </c>
    </row>
    <row r="15" spans="1:10" ht="22.5" customHeight="1" x14ac:dyDescent="0.25">
      <c r="A15" s="1" t="s">
        <v>0</v>
      </c>
      <c r="B15" s="1" t="s">
        <v>1</v>
      </c>
      <c r="C15" s="1" t="s">
        <v>4</v>
      </c>
      <c r="D15" s="1">
        <v>5</v>
      </c>
      <c r="E15" s="1">
        <v>5</v>
      </c>
      <c r="F15" s="1">
        <v>4</v>
      </c>
      <c r="G15" s="1">
        <v>5</v>
      </c>
      <c r="H15" s="1">
        <v>4</v>
      </c>
      <c r="I15" s="1">
        <v>5</v>
      </c>
      <c r="J15" s="1">
        <v>5</v>
      </c>
    </row>
    <row r="16" spans="1:10" ht="22.5" customHeight="1" x14ac:dyDescent="0.25">
      <c r="A16" s="1" t="s">
        <v>0</v>
      </c>
      <c r="B16" s="1" t="s">
        <v>1</v>
      </c>
      <c r="C16" s="1" t="s">
        <v>2</v>
      </c>
      <c r="D16" s="1">
        <v>3</v>
      </c>
      <c r="E16" s="1">
        <v>3</v>
      </c>
      <c r="F16" s="1">
        <v>4</v>
      </c>
      <c r="G16" s="1">
        <v>4</v>
      </c>
      <c r="H16" s="1">
        <v>3</v>
      </c>
      <c r="I16" s="1">
        <v>4</v>
      </c>
      <c r="J16" s="1">
        <v>4</v>
      </c>
    </row>
    <row r="17" spans="1:10" ht="22.5" customHeight="1" x14ac:dyDescent="0.25">
      <c r="A17" s="1" t="s">
        <v>0</v>
      </c>
      <c r="B17" s="1" t="s">
        <v>3</v>
      </c>
      <c r="C17" s="1" t="s">
        <v>4</v>
      </c>
      <c r="D17" s="1">
        <v>5</v>
      </c>
      <c r="E17" s="1">
        <v>2</v>
      </c>
      <c r="F17" s="1">
        <v>3</v>
      </c>
      <c r="G17" s="1">
        <v>2</v>
      </c>
      <c r="H17" s="1">
        <v>2</v>
      </c>
      <c r="I17" s="1">
        <v>2</v>
      </c>
      <c r="J17" s="1">
        <v>2</v>
      </c>
    </row>
    <row r="18" spans="1:10" ht="22.5" customHeight="1" x14ac:dyDescent="0.25">
      <c r="A18" s="1" t="s">
        <v>0</v>
      </c>
      <c r="B18" s="1" t="s">
        <v>3</v>
      </c>
      <c r="C18" s="1" t="s">
        <v>4</v>
      </c>
      <c r="D18" s="1">
        <v>5</v>
      </c>
      <c r="E18" s="1">
        <v>4</v>
      </c>
      <c r="F18" s="1">
        <v>4</v>
      </c>
      <c r="G18" s="1">
        <v>4</v>
      </c>
      <c r="H18" s="1">
        <v>4</v>
      </c>
      <c r="I18" s="1">
        <v>3</v>
      </c>
      <c r="J18" s="1">
        <v>4</v>
      </c>
    </row>
    <row r="19" spans="1:10" ht="22.5" customHeight="1" x14ac:dyDescent="0.25">
      <c r="A19" s="1" t="s">
        <v>7</v>
      </c>
      <c r="B19" s="1" t="s">
        <v>3</v>
      </c>
      <c r="C19" s="1" t="s">
        <v>5</v>
      </c>
      <c r="D19" s="1">
        <v>3</v>
      </c>
      <c r="E19" s="1">
        <v>1</v>
      </c>
      <c r="F19" s="1">
        <v>1</v>
      </c>
      <c r="G19" s="1">
        <v>3</v>
      </c>
      <c r="H19" s="1">
        <v>2</v>
      </c>
      <c r="I19" s="1">
        <v>2</v>
      </c>
      <c r="J19" s="1">
        <v>3</v>
      </c>
    </row>
    <row r="20" spans="1:10" ht="22.5" customHeight="1" x14ac:dyDescent="0.25">
      <c r="A20" s="1" t="s">
        <v>7</v>
      </c>
      <c r="B20" s="1" t="s">
        <v>1</v>
      </c>
      <c r="C20" s="1" t="s">
        <v>2</v>
      </c>
      <c r="D20" s="1">
        <v>2</v>
      </c>
      <c r="E20" s="1">
        <v>1</v>
      </c>
      <c r="F20" s="1">
        <v>3</v>
      </c>
      <c r="G20" s="1">
        <v>1</v>
      </c>
      <c r="H20" s="1">
        <v>2</v>
      </c>
      <c r="I20" s="1">
        <v>2</v>
      </c>
      <c r="J20" s="1">
        <v>3</v>
      </c>
    </row>
    <row r="21" spans="1:10" ht="22.5" customHeight="1" x14ac:dyDescent="0.25">
      <c r="A21" s="1" t="s">
        <v>8</v>
      </c>
      <c r="B21" s="1" t="s">
        <v>6</v>
      </c>
      <c r="C21" s="1" t="s">
        <v>4</v>
      </c>
      <c r="D21" s="1">
        <v>2</v>
      </c>
      <c r="E21" s="1">
        <v>5</v>
      </c>
      <c r="F21" s="1">
        <v>1</v>
      </c>
      <c r="G21" s="1">
        <v>1</v>
      </c>
      <c r="H21" s="1">
        <v>1</v>
      </c>
      <c r="I21" s="1">
        <v>5</v>
      </c>
      <c r="J21" s="1">
        <v>1</v>
      </c>
    </row>
    <row r="22" spans="1:10" ht="22.5" customHeight="1" x14ac:dyDescent="0.25">
      <c r="A22" s="1" t="s">
        <v>7</v>
      </c>
      <c r="B22" s="1" t="s">
        <v>3</v>
      </c>
      <c r="C22" s="1" t="s">
        <v>5</v>
      </c>
      <c r="D22" s="1">
        <v>2</v>
      </c>
      <c r="E22" s="1">
        <v>2</v>
      </c>
      <c r="F22" s="1">
        <v>2</v>
      </c>
      <c r="G22" s="1">
        <v>2</v>
      </c>
      <c r="H22" s="1">
        <v>2</v>
      </c>
      <c r="I22" s="1">
        <v>2</v>
      </c>
      <c r="J22" s="1">
        <v>2</v>
      </c>
    </row>
    <row r="23" spans="1:10" ht="22.5" customHeight="1" x14ac:dyDescent="0.25">
      <c r="A23" s="1" t="s">
        <v>7</v>
      </c>
      <c r="B23" s="1" t="s">
        <v>3</v>
      </c>
      <c r="C23" s="1" t="s">
        <v>4</v>
      </c>
      <c r="D23" s="1">
        <v>3</v>
      </c>
      <c r="E23" s="1">
        <v>3</v>
      </c>
      <c r="F23" s="1">
        <v>3</v>
      </c>
      <c r="G23" s="1">
        <v>3</v>
      </c>
      <c r="H23" s="1">
        <v>3</v>
      </c>
      <c r="I23" s="1">
        <v>3</v>
      </c>
      <c r="J23" s="1">
        <v>3</v>
      </c>
    </row>
    <row r="24" spans="1:10" ht="22.5" customHeight="1" x14ac:dyDescent="0.25">
      <c r="A24" s="1" t="s">
        <v>7</v>
      </c>
      <c r="B24" s="1" t="s">
        <v>1</v>
      </c>
      <c r="C24" s="1" t="s">
        <v>4</v>
      </c>
      <c r="D24" s="1">
        <v>5</v>
      </c>
      <c r="E24" s="1">
        <v>5</v>
      </c>
      <c r="F24" s="1">
        <v>5</v>
      </c>
      <c r="G24" s="1">
        <v>5</v>
      </c>
      <c r="H24" s="1">
        <v>5</v>
      </c>
      <c r="I24" s="1">
        <v>5</v>
      </c>
      <c r="J24" s="1">
        <v>5</v>
      </c>
    </row>
    <row r="25" spans="1:10" ht="22.5" customHeight="1" x14ac:dyDescent="0.25">
      <c r="A25" s="1" t="s">
        <v>7</v>
      </c>
      <c r="B25" s="1" t="s">
        <v>1</v>
      </c>
      <c r="C25" s="1" t="s">
        <v>2</v>
      </c>
      <c r="D25" s="1">
        <v>1</v>
      </c>
      <c r="E25" s="1">
        <v>5</v>
      </c>
      <c r="F25" s="1">
        <v>3</v>
      </c>
      <c r="G25" s="1">
        <v>1</v>
      </c>
      <c r="H25" s="1">
        <v>1</v>
      </c>
      <c r="I25" s="1">
        <v>1</v>
      </c>
      <c r="J25" s="1">
        <v>1</v>
      </c>
    </row>
    <row r="26" spans="1:10" ht="22.5" customHeight="1" x14ac:dyDescent="0.25">
      <c r="A26" s="1" t="s">
        <v>7</v>
      </c>
      <c r="B26" s="1" t="s">
        <v>1</v>
      </c>
      <c r="C26" s="1" t="s">
        <v>5</v>
      </c>
      <c r="D26" s="1">
        <v>3</v>
      </c>
      <c r="E26" s="1">
        <v>3</v>
      </c>
      <c r="F26" s="1">
        <v>1</v>
      </c>
      <c r="G26" s="1">
        <v>1</v>
      </c>
      <c r="H26" s="1">
        <v>2</v>
      </c>
      <c r="I26" s="1">
        <v>3</v>
      </c>
      <c r="J26" s="1">
        <v>3</v>
      </c>
    </row>
    <row r="27" spans="1:10" ht="22.5" customHeight="1" x14ac:dyDescent="0.25">
      <c r="A27" s="1" t="s">
        <v>8</v>
      </c>
      <c r="B27" s="1" t="s">
        <v>3</v>
      </c>
      <c r="C27" s="1" t="s">
        <v>2</v>
      </c>
      <c r="D27" s="1">
        <v>3</v>
      </c>
      <c r="E27" s="1">
        <v>2</v>
      </c>
      <c r="F27" s="1">
        <v>1</v>
      </c>
      <c r="G27" s="1">
        <v>1</v>
      </c>
      <c r="H27" s="1">
        <v>2</v>
      </c>
      <c r="I27" s="1">
        <v>2</v>
      </c>
      <c r="J27" s="1">
        <v>2</v>
      </c>
    </row>
    <row r="28" spans="1:10" ht="22.5" customHeight="1" x14ac:dyDescent="0.25">
      <c r="A28" s="1" t="s">
        <v>0</v>
      </c>
      <c r="B28" s="1" t="s">
        <v>3</v>
      </c>
      <c r="C28" s="1" t="s">
        <v>4</v>
      </c>
      <c r="D28" s="1">
        <v>4</v>
      </c>
      <c r="E28" s="1">
        <v>3</v>
      </c>
      <c r="F28" s="1">
        <v>4</v>
      </c>
      <c r="G28" s="1">
        <v>3</v>
      </c>
      <c r="H28" s="1">
        <v>4</v>
      </c>
      <c r="I28" s="1">
        <v>5</v>
      </c>
      <c r="J28" s="1">
        <v>5</v>
      </c>
    </row>
    <row r="29" spans="1:10" ht="22.5" customHeight="1" x14ac:dyDescent="0.25">
      <c r="A29" s="1" t="s">
        <v>8</v>
      </c>
      <c r="B29" s="1" t="s">
        <v>3</v>
      </c>
      <c r="C29" s="1" t="s">
        <v>2</v>
      </c>
      <c r="D29" s="1">
        <v>4</v>
      </c>
      <c r="E29" s="1">
        <v>2</v>
      </c>
      <c r="F29" s="1">
        <v>1</v>
      </c>
      <c r="G29" s="1">
        <v>1</v>
      </c>
      <c r="H29" s="1">
        <v>2</v>
      </c>
      <c r="I29" s="1">
        <v>3</v>
      </c>
      <c r="J29" s="1">
        <v>5</v>
      </c>
    </row>
    <row r="30" spans="1:10" ht="22.5" customHeight="1" x14ac:dyDescent="0.25">
      <c r="A30" s="1" t="s">
        <v>7</v>
      </c>
      <c r="B30" s="1" t="s">
        <v>6</v>
      </c>
      <c r="C30" s="1" t="s">
        <v>5</v>
      </c>
      <c r="D30" s="1">
        <v>3</v>
      </c>
      <c r="E30" s="1">
        <v>2</v>
      </c>
      <c r="F30" s="1">
        <v>2</v>
      </c>
      <c r="G30" s="1">
        <v>3</v>
      </c>
      <c r="H30" s="1">
        <v>1</v>
      </c>
      <c r="I30" s="1">
        <v>1</v>
      </c>
      <c r="J30" s="1">
        <v>4</v>
      </c>
    </row>
    <row r="31" spans="1:10" ht="22.5" customHeight="1" x14ac:dyDescent="0.25">
      <c r="A31" s="1" t="s">
        <v>9</v>
      </c>
      <c r="B31" s="1" t="s">
        <v>1</v>
      </c>
      <c r="C31" s="1" t="s">
        <v>4</v>
      </c>
      <c r="D31" s="1">
        <v>4</v>
      </c>
      <c r="E31" s="1">
        <v>2</v>
      </c>
      <c r="F31" s="1">
        <v>1</v>
      </c>
      <c r="G31" s="1">
        <v>2</v>
      </c>
      <c r="H31" s="1">
        <v>4</v>
      </c>
      <c r="I31" s="1">
        <v>4</v>
      </c>
      <c r="J31" s="1">
        <v>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Ayush Kumar</cp:lastModifiedBy>
  <dcterms:modified xsi:type="dcterms:W3CDTF">2026-03-25T05:13:12Z</dcterms:modified>
</cp:coreProperties>
</file>