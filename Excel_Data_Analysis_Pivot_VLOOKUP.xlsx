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199A748-3D98-4883-83E6-0034E44F88C1}" xr6:coauthVersionLast="47" xr6:coauthVersionMax="47" xr10:uidLastSave="{00000000-0000-0000-0000-000000000000}"/>
  <bookViews>
    <workbookView xWindow="-110" yWindow="-110" windowWidth="19420" windowHeight="11020" activeTab="1" xr2:uid="{00000000-000D-0000-FFFF-FFFF00000000}"/>
  </bookViews>
  <sheets>
    <sheet name="Pivot Table" sheetId="2" r:id="rId1"/>
    <sheet name="Graph" sheetId="6" r:id="rId2"/>
    <sheet name="Form responses 1" sheetId="1" r:id="rId3"/>
  </sheets>
  <definedNames>
    <definedName name="Slicer_Q1_Age____Q1._Age_group">#N/A</definedName>
  </definedNames>
  <calcPr calcId="191029"/>
  <pivotCaches>
    <pivotCache cacheId="0" r:id="rId4"/>
    <pivotCache cacheId="4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 l="1"/>
  <c r="C15" i="2"/>
  <c r="C16" i="2"/>
  <c r="C17" i="2"/>
  <c r="C18" i="2"/>
  <c r="C19" i="2"/>
  <c r="C20" i="2"/>
</calcChain>
</file>

<file path=xl/sharedStrings.xml><?xml version="1.0" encoding="utf-8"?>
<sst xmlns="http://schemas.openxmlformats.org/spreadsheetml/2006/main" count="152" uniqueCount="41">
  <si>
    <t>18-25</t>
  </si>
  <si>
    <t>Frequently</t>
  </si>
  <si>
    <t>Somewhat familiar (used once or twice)</t>
  </si>
  <si>
    <t>Occasionally</t>
  </si>
  <si>
    <t>Very familiar (used often)</t>
  </si>
  <si>
    <t>Aware but rarely used</t>
  </si>
  <si>
    <t>Rarely</t>
  </si>
  <si>
    <t>Above 35</t>
  </si>
  <si>
    <t>26-35</t>
  </si>
  <si>
    <t>Below 18</t>
  </si>
  <si>
    <t>Row Labels</t>
  </si>
  <si>
    <t>Grand Total</t>
  </si>
  <si>
    <t>Interpretation</t>
  </si>
  <si>
    <t>Agree</t>
  </si>
  <si>
    <t>Neutral</t>
  </si>
  <si>
    <t>Mean Range</t>
  </si>
  <si>
    <t>Strongly Disagree</t>
  </si>
  <si>
    <t>Disagree</t>
  </si>
  <si>
    <t>Strongly Agree</t>
  </si>
  <si>
    <t xml:space="preserve">Q1_Age
  Q1. Age group  </t>
  </si>
  <si>
    <t>Q2_ShoppingFrequency
  Q2. How often do you shop online?</t>
  </si>
  <si>
    <t xml:space="preserve">Q3_ChatbotFamiliarity
  Q3. How familiar are you with AI chatbots on e-commerce websites?
</t>
  </si>
  <si>
    <t xml:space="preserve">Q4_EasyToUse
  (1 = Strongly Disagree, 5 = Strongly Agree)   
   Q4. The chatbot was easy to use  
</t>
  </si>
  <si>
    <t xml:space="preserve">Q5_UnderstandsEmotions
</t>
  </si>
  <si>
    <t xml:space="preserve">Q6_HelpedPurchaseDecision
  (1 = Strongly Disagree, 5 = Strongly Agree)   
  Q6. The chatbot helped me make a purchase decision 
</t>
  </si>
  <si>
    <t xml:space="preserve">Q7_HelpedChooseFeatures
  (1 = Strongly Disagree, 5 = Strongly Agree)   
  Q7. The chatbot helped me choose product features (size, color, design, etc.) 
</t>
  </si>
  <si>
    <t xml:space="preserve">Q8_FeltConfident
  (1 = Strongly Disagree, 5 = Strongly Agree)   
  Q8. I felt more confident after interacting with the chatbot 
</t>
  </si>
  <si>
    <t xml:space="preserve">Q9_OverallSatisfaction 
  (1 = Strongly Disagree, 5 = Strongly Agree)   
  Q9. Overall, I am satisfied with the chatbot service 
</t>
  </si>
  <si>
    <t xml:space="preserve">Q10_PreferChatbotWebsites 
  (1 = Strongly Disagree, 5 = Strongly Agree)   
  Q10. I would prefer shopping on websites that provide chatbot support 
</t>
  </si>
  <si>
    <t xml:space="preserve">Age Group
  Q1. Age group  </t>
  </si>
  <si>
    <t>Values</t>
  </si>
  <si>
    <t>(All)</t>
  </si>
  <si>
    <t>Q4 Easy To Use</t>
  </si>
  <si>
    <t>Q5 Understands Emotions</t>
  </si>
  <si>
    <t>Q6 Purchase Decision</t>
  </si>
  <si>
    <t>Q7 Feature Selection</t>
  </si>
  <si>
    <t>Q8 User Confidence</t>
  </si>
  <si>
    <t xml:space="preserve">Q9 Satisfaction </t>
  </si>
  <si>
    <t xml:space="preserve">Q10 Preference </t>
  </si>
  <si>
    <t>Shopping Frequency</t>
  </si>
  <si>
    <t>Chatbot Familiarity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</si>
</sst>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0"/>
      <color rgb="FF000000"/>
      <name val="Arial"/>
      <scheme val="minor"/>
    </font>
    <font>
      <sz val="10"/>
      <color theme="1"/>
      <name val="Arial"/>
      <scheme val="minor"/>
    </font>
    <font>
      <sz val="8"/>
      <name val="Arial"/>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0" fontId="0" fillId="0" borderId="3" xfId="0" applyNumberFormat="1" applyBorder="1"/>
    <xf numFmtId="10" fontId="0" fillId="0" borderId="4" xfId="0" applyNumberFormat="1" applyBorder="1"/>
    <xf numFmtId="10" fontId="0" fillId="0" borderId="5" xfId="0" applyNumberFormat="1" applyBorder="1"/>
    <xf numFmtId="0" fontId="3" fillId="0" borderId="0" xfId="0" applyFont="1" applyAlignment="1">
      <alignment vertical="center" wrapText="1"/>
    </xf>
    <xf numFmtId="0" fontId="4" fillId="0" borderId="0" xfId="0" applyFont="1" applyAlignment="1">
      <alignment horizontal="center" vertical="center" wrapText="1"/>
    </xf>
    <xf numFmtId="0" fontId="1" fillId="0" borderId="0" xfId="0" applyFont="1" applyAlignment="1">
      <alignment horizontal="left" vertical="center" wrapText="1"/>
    </xf>
    <xf numFmtId="0" fontId="0" fillId="0" borderId="7" xfId="0" applyBorder="1" applyAlignment="1">
      <alignment horizontal="left"/>
    </xf>
    <xf numFmtId="0" fontId="0" fillId="0" borderId="5" xfId="0" pivotButton="1" applyBorder="1"/>
    <xf numFmtId="0" fontId="0" fillId="0" borderId="5" xfId="0" applyBorder="1"/>
    <xf numFmtId="164" fontId="0" fillId="0" borderId="3" xfId="0" applyNumberFormat="1" applyBorder="1"/>
    <xf numFmtId="164" fontId="0" fillId="0" borderId="4" xfId="0" applyNumberFormat="1" applyBorder="1"/>
    <xf numFmtId="164" fontId="0" fillId="0" borderId="8" xfId="0" applyNumberFormat="1" applyBorder="1"/>
  </cellXfs>
  <cellStyles count="1">
    <cellStyle name="Normal" xfId="0" builtinId="0"/>
  </cellStyles>
  <dxfs count="6">
    <dxf>
      <numFmt numFmtId="164" formatCode="0.0"/>
    </dxf>
    <dxf>
      <numFmt numFmtId="164" formatCode="0.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[Excel_Data_Analysis_Pivot_VLOOKUP.xlsx]Pivot Table!PivotTable1</c:name>
    <c:fmtId val="35"/>
  </c:pivotSource>
  <c:chart>
    <c:title>
      <c:tx>
        <c:rich>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r>
              <a:rPr lang="en-US" sz="1400" b="1" i="1" u="none" strike="noStrike" kern="1200" spc="0" baseline="0">
                <a:solidFill>
                  <a:srgbClr val="000000">
                    <a:lumMod val="65000"/>
                    <a:lumOff val="35000"/>
                  </a:srgbClr>
                </a:solidFill>
                <a:latin typeface="+mn-lt"/>
                <a:ea typeface="+mn-ea"/>
                <a:cs typeface="+mn-cs"/>
              </a:rPr>
              <a:t>Age</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rgbClr val="000000">
                      <a:lumMod val="65000"/>
                      <a:lumOff val="35000"/>
                    </a:srgb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86-4147-9DC5-48485AB9D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86-4147-9DC5-48485AB9D3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86-4147-9DC5-48485AB9D3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86-4147-9DC5-48485AB9D359}"/>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rgbClr val="000000">
                        <a:lumMod val="65000"/>
                        <a:lumOff val="35000"/>
                      </a:srgb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Table'!$A$3:$A$7</c:f>
              <c:strCache>
                <c:ptCount val="4"/>
                <c:pt idx="0">
                  <c:v>Below 18</c:v>
                </c:pt>
                <c:pt idx="1">
                  <c:v>18-25</c:v>
                </c:pt>
                <c:pt idx="2">
                  <c:v>26-35</c:v>
                </c:pt>
                <c:pt idx="3">
                  <c:v>Above 35</c:v>
                </c:pt>
              </c:strCache>
            </c:strRef>
          </c:cat>
          <c:val>
            <c:numRef>
              <c:f>'Pivot Table'!$B$3:$B$7</c:f>
              <c:numCache>
                <c:formatCode>0.00%</c:formatCode>
                <c:ptCount val="4"/>
                <c:pt idx="0">
                  <c:v>3.3333333333333333E-2</c:v>
                </c:pt>
                <c:pt idx="1">
                  <c:v>0.6</c:v>
                </c:pt>
                <c:pt idx="2">
                  <c:v>0.1</c:v>
                </c:pt>
                <c:pt idx="3">
                  <c:v>0.26666666666666666</c:v>
                </c:pt>
              </c:numCache>
            </c:numRef>
          </c:val>
          <c:extLst>
            <c:ext xmlns:c16="http://schemas.microsoft.com/office/drawing/2014/chart" uri="{C3380CC4-5D6E-409C-BE32-E72D297353CC}">
              <c16:uniqueId val="{00000008-5B86-4147-9DC5-48485AB9D3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145756780402454"/>
          <c:y val="0.41042104111985994"/>
          <c:w val="0.1474313210848644"/>
          <c:h val="0.29536162146398365"/>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[Excel_Data_Analysis_Pivot_VLOOKUP.xlsx]Pivot Table!PivotTable11</c:name>
    <c:fmtId val="3"/>
  </c:pivotSource>
  <c:chart>
    <c:title>
      <c:tx>
        <c:rich>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r>
              <a:rPr lang="en-US" sz="1400" b="1" i="1" u="none" strike="noStrike" kern="1200" spc="0" baseline="0">
                <a:solidFill>
                  <a:srgbClr val="000000">
                    <a:lumMod val="65000"/>
                    <a:lumOff val="35000"/>
                  </a:srgbClr>
                </a:solidFill>
                <a:latin typeface="+mn-lt"/>
                <a:ea typeface="+mn-ea"/>
                <a:cs typeface="+mn-cs"/>
              </a:rPr>
              <a:t>Mean Score Analysis</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88526934500428E-2"/>
          <c:y val="0.10314288034710468"/>
          <c:w val="0.87701373003399818"/>
          <c:h val="0.61412184794642244"/>
        </c:manualLayout>
      </c:layout>
      <c:barChart>
        <c:barDir val="col"/>
        <c:grouping val="clustered"/>
        <c:varyColors val="0"/>
        <c:ser>
          <c:idx val="0"/>
          <c:order val="0"/>
          <c:tx>
            <c:strRef>
              <c:f>'Pivot Table'!$B$13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7"/>
                <c:pt idx="0">
                  <c:v>Q4 Easy To Use</c:v>
                </c:pt>
                <c:pt idx="1">
                  <c:v>Q5 Understands Emotions</c:v>
                </c:pt>
                <c:pt idx="2">
                  <c:v>Q6 Purchase Decision</c:v>
                </c:pt>
                <c:pt idx="3">
                  <c:v>Q7 Feature Selection</c:v>
                </c:pt>
                <c:pt idx="4">
                  <c:v>Q8 User Confidence</c:v>
                </c:pt>
                <c:pt idx="5">
                  <c:v>Q9 Satisfaction </c:v>
                </c:pt>
                <c:pt idx="6">
                  <c:v>Q10 Preference </c:v>
                </c:pt>
              </c:strCache>
            </c:strRef>
          </c:cat>
          <c:val>
            <c:numRef>
              <c:f>'Pivot Table'!$B$14:$B$20</c:f>
              <c:numCache>
                <c:formatCode>0.0</c:formatCode>
                <c:ptCount val="7"/>
                <c:pt idx="0">
                  <c:v>3.8</c:v>
                </c:pt>
                <c:pt idx="1">
                  <c:v>3.0666666666666669</c:v>
                </c:pt>
                <c:pt idx="2">
                  <c:v>2.8</c:v>
                </c:pt>
                <c:pt idx="3">
                  <c:v>3.0666666666666669</c:v>
                </c:pt>
                <c:pt idx="4">
                  <c:v>3.1</c:v>
                </c:pt>
                <c:pt idx="5">
                  <c:v>3.2666666666666666</c:v>
                </c:pt>
                <c:pt idx="6">
                  <c:v>3.3666666666666667</c:v>
                </c:pt>
              </c:numCache>
            </c:numRef>
          </c:val>
          <c:extLst>
            <c:ext xmlns:c16="http://schemas.microsoft.com/office/drawing/2014/chart" uri="{C3380CC4-5D6E-409C-BE32-E72D297353CC}">
              <c16:uniqueId val="{00000000-542B-40B4-AA2B-7C56D9A6F390}"/>
            </c:ext>
          </c:extLst>
        </c:ser>
        <c:dLbls>
          <c:dLblPos val="outEnd"/>
          <c:showLegendKey val="0"/>
          <c:showVal val="1"/>
          <c:showCatName val="0"/>
          <c:showSerName val="0"/>
          <c:showPercent val="0"/>
          <c:showBubbleSize val="0"/>
        </c:dLbls>
        <c:gapWidth val="219"/>
        <c:overlap val="-27"/>
        <c:axId val="428778096"/>
        <c:axId val="428779056"/>
      </c:barChart>
      <c:catAx>
        <c:axId val="4287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779056"/>
        <c:crosses val="autoZero"/>
        <c:auto val="1"/>
        <c:lblAlgn val="ctr"/>
        <c:lblOffset val="100"/>
        <c:noMultiLvlLbl val="0"/>
      </c:catAx>
      <c:valAx>
        <c:axId val="428779056"/>
        <c:scaling>
          <c:orientation val="minMax"/>
          <c:max val="5"/>
          <c:min val="1"/>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7809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[Excel_Data_Analysis_Pivot_VLOOKUP.xlsx]Pivot Table!PivotTable12</c:name>
    <c:fmtId val="4"/>
  </c:pivotSource>
  <c:chart>
    <c:title>
      <c:tx>
        <c:rich>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r>
              <a:rPr lang="en-US" sz="1400" b="1" i="1" u="none" strike="noStrike" kern="1200" spc="0" baseline="0">
                <a:solidFill>
                  <a:srgbClr val="000000">
                    <a:lumMod val="65000"/>
                    <a:lumOff val="35000"/>
                  </a:srgbClr>
                </a:solidFill>
                <a:latin typeface="+mn-lt"/>
                <a:ea typeface="+mn-ea"/>
                <a:cs typeface="+mn-cs"/>
              </a:rPr>
              <a:t>Shopping Frequency</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c:f>
              <c:strCache>
                <c:ptCount val="1"/>
                <c:pt idx="0">
                  <c:v>Total</c:v>
                </c:pt>
              </c:strCache>
            </c:strRef>
          </c:tx>
          <c:spPr>
            <a:ln w="28575" cap="rnd">
              <a:solidFill>
                <a:schemeClr val="accent1"/>
              </a:solidFill>
              <a:round/>
            </a:ln>
            <a:effectLst/>
          </c:spPr>
          <c:marker>
            <c:symbol val="none"/>
          </c:marker>
          <c:dLbls>
            <c:dLbl>
              <c:idx val="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8-4E27-9F8B-67AE0ACB80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Table'!$A$25:$A$28</c:f>
              <c:strCache>
                <c:ptCount val="3"/>
                <c:pt idx="0">
                  <c:v>Frequently</c:v>
                </c:pt>
                <c:pt idx="1">
                  <c:v>Occasionally</c:v>
                </c:pt>
                <c:pt idx="2">
                  <c:v>Rarely</c:v>
                </c:pt>
              </c:strCache>
            </c:strRef>
          </c:cat>
          <c:val>
            <c:numRef>
              <c:f>'Pivot Table'!$B$25:$B$28</c:f>
              <c:numCache>
                <c:formatCode>0.00%</c:formatCode>
                <c:ptCount val="3"/>
                <c:pt idx="0">
                  <c:v>0.4</c:v>
                </c:pt>
                <c:pt idx="1">
                  <c:v>0.5</c:v>
                </c:pt>
                <c:pt idx="2">
                  <c:v>0.1</c:v>
                </c:pt>
              </c:numCache>
            </c:numRef>
          </c:val>
          <c:smooth val="1"/>
          <c:extLst>
            <c:ext xmlns:c16="http://schemas.microsoft.com/office/drawing/2014/chart" uri="{C3380CC4-5D6E-409C-BE32-E72D297353CC}">
              <c16:uniqueId val="{00000001-83D8-4E27-9F8B-67AE0ACB8059}"/>
            </c:ext>
          </c:extLst>
        </c:ser>
        <c:dLbls>
          <c:dLblPos val="t"/>
          <c:showLegendKey val="0"/>
          <c:showVal val="1"/>
          <c:showCatName val="0"/>
          <c:showSerName val="0"/>
          <c:showPercent val="0"/>
          <c:showBubbleSize val="0"/>
        </c:dLbls>
        <c:smooth val="0"/>
        <c:axId val="1948922688"/>
        <c:axId val="1948923168"/>
      </c:lineChart>
      <c:catAx>
        <c:axId val="19489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48923168"/>
        <c:crosses val="autoZero"/>
        <c:auto val="1"/>
        <c:lblAlgn val="ctr"/>
        <c:lblOffset val="100"/>
        <c:noMultiLvlLbl val="0"/>
      </c:catAx>
      <c:valAx>
        <c:axId val="1948923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2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[Excel_Data_Analysis_Pivot_VLOOKUP.xlsx]Pivot Table!PivotTable13</c:name>
    <c:fmtId val="5"/>
  </c:pivotSource>
  <c:chart>
    <c:title>
      <c:tx>
        <c:rich>
          <a:bodyPr rot="0" spcFirstLastPara="1" vertOverflow="ellipsis" vert="horz" wrap="square" anchor="ctr" anchorCtr="1"/>
          <a:lstStyle/>
          <a:p>
            <a:pPr algn="ctr" rtl="0">
              <a:defRPr lang="en-IN" sz="1400" b="1" i="1" u="none" strike="noStrike" kern="1200" spc="0" baseline="0">
                <a:solidFill>
                  <a:srgbClr val="000000">
                    <a:lumMod val="65000"/>
                    <a:lumOff val="35000"/>
                  </a:srgbClr>
                </a:solidFill>
                <a:latin typeface="+mn-lt"/>
                <a:ea typeface="+mn-ea"/>
                <a:cs typeface="+mn-cs"/>
              </a:defRPr>
            </a:pPr>
            <a:r>
              <a:rPr lang="en-IN" sz="1400" b="1" i="1" u="none" strike="noStrike" kern="1200" spc="0" baseline="0">
                <a:solidFill>
                  <a:srgbClr val="000000">
                    <a:lumMod val="65000"/>
                    <a:lumOff val="35000"/>
                  </a:srgbClr>
                </a:solidFill>
                <a:latin typeface="+mn-lt"/>
                <a:ea typeface="+mn-ea"/>
                <a:cs typeface="+mn-cs"/>
              </a:rPr>
              <a:t>Chatbot Familiarity</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Table'!$A$32:$A$35</c:f>
              <c:strCache>
                <c:ptCount val="3"/>
                <c:pt idx="0">
                  <c:v>Aware but rarely used</c:v>
                </c:pt>
                <c:pt idx="1">
                  <c:v>Somewhat familiar (used once or twice)</c:v>
                </c:pt>
                <c:pt idx="2">
                  <c:v>Very familiar (used often)</c:v>
                </c:pt>
              </c:strCache>
            </c:strRef>
          </c:cat>
          <c:val>
            <c:numRef>
              <c:f>'Pivot Table'!$B$32:$B$35</c:f>
              <c:numCache>
                <c:formatCode>0.00%</c:formatCode>
                <c:ptCount val="3"/>
                <c:pt idx="0">
                  <c:v>0.23333333333333334</c:v>
                </c:pt>
                <c:pt idx="1">
                  <c:v>0.26666666666666666</c:v>
                </c:pt>
                <c:pt idx="2">
                  <c:v>0.5</c:v>
                </c:pt>
              </c:numCache>
            </c:numRef>
          </c:val>
          <c:extLst>
            <c:ext xmlns:c16="http://schemas.microsoft.com/office/drawing/2014/chart" uri="{C3380CC4-5D6E-409C-BE32-E72D297353CC}">
              <c16:uniqueId val="{00000000-1433-4E37-BFD3-D9D8D75911FA}"/>
            </c:ext>
          </c:extLst>
        </c:ser>
        <c:dLbls>
          <c:dLblPos val="outEnd"/>
          <c:showLegendKey val="0"/>
          <c:showVal val="1"/>
          <c:showCatName val="0"/>
          <c:showSerName val="0"/>
          <c:showPercent val="0"/>
          <c:showBubbleSize val="0"/>
        </c:dLbls>
        <c:gapWidth val="182"/>
        <c:axId val="1784867680"/>
        <c:axId val="1784868160"/>
      </c:barChart>
      <c:catAx>
        <c:axId val="178486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784868160"/>
        <c:crosses val="autoZero"/>
        <c:auto val="1"/>
        <c:lblAlgn val="ctr"/>
        <c:lblOffset val="100"/>
        <c:noMultiLvlLbl val="0"/>
      </c:catAx>
      <c:valAx>
        <c:axId val="1784868160"/>
        <c:scaling>
          <c:orientation val="minMax"/>
        </c:scaling>
        <c:delete val="1"/>
        <c:axPos val="b"/>
        <c:numFmt formatCode="0.00%" sourceLinked="1"/>
        <c:majorTickMark val="none"/>
        <c:minorTickMark val="none"/>
        <c:tickLblPos val="nextTo"/>
        <c:crossAx val="178486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70994</xdr:colOff>
      <xdr:row>15</xdr:row>
      <xdr:rowOff>138044</xdr:rowOff>
    </xdr:from>
    <xdr:to>
      <xdr:col>6</xdr:col>
      <xdr:colOff>419553</xdr:colOff>
      <xdr:row>38</xdr:row>
      <xdr:rowOff>34018</xdr:rowOff>
    </xdr:to>
    <xdr:graphicFrame macro="">
      <xdr:nvGraphicFramePr>
        <xdr:cNvPr id="20" name="Chart 19">
          <a:extLst>
            <a:ext uri="{FF2B5EF4-FFF2-40B4-BE49-F238E27FC236}">
              <a16:creationId xmlns:a16="http://schemas.microsoft.com/office/drawing/2014/main" id="{E7720197-A932-48DD-9B86-568885269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464911</xdr:colOff>
      <xdr:row>0</xdr:row>
      <xdr:rowOff>113393</xdr:rowOff>
    </xdr:from>
    <xdr:to>
      <xdr:col>14</xdr:col>
      <xdr:colOff>419554</xdr:colOff>
      <xdr:row>38</xdr:row>
      <xdr:rowOff>45357</xdr:rowOff>
    </xdr:to>
    <xdr:graphicFrame macro="">
      <xdr:nvGraphicFramePr>
        <xdr:cNvPr id="48" name="Chart 47">
          <a:extLst>
            <a:ext uri="{FF2B5EF4-FFF2-40B4-BE49-F238E27FC236}">
              <a16:creationId xmlns:a16="http://schemas.microsoft.com/office/drawing/2014/main" id="{2AB96640-D135-4520-8ED7-75B443CE9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487589</xdr:colOff>
      <xdr:row>0</xdr:row>
      <xdr:rowOff>124732</xdr:rowOff>
    </xdr:from>
    <xdr:to>
      <xdr:col>22</xdr:col>
      <xdr:colOff>181430</xdr:colOff>
      <xdr:row>19</xdr:row>
      <xdr:rowOff>34018</xdr:rowOff>
    </xdr:to>
    <xdr:graphicFrame macro="">
      <xdr:nvGraphicFramePr>
        <xdr:cNvPr id="50" name="Chart 49">
          <a:extLst>
            <a:ext uri="{FF2B5EF4-FFF2-40B4-BE49-F238E27FC236}">
              <a16:creationId xmlns:a16="http://schemas.microsoft.com/office/drawing/2014/main" id="{A3CF31A5-5BC3-4DD4-8054-3BF7EFB3E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487589</xdr:colOff>
      <xdr:row>19</xdr:row>
      <xdr:rowOff>56696</xdr:rowOff>
    </xdr:from>
    <xdr:to>
      <xdr:col>22</xdr:col>
      <xdr:colOff>249465</xdr:colOff>
      <xdr:row>38</xdr:row>
      <xdr:rowOff>79376</xdr:rowOff>
    </xdr:to>
    <xdr:graphicFrame macro="">
      <xdr:nvGraphicFramePr>
        <xdr:cNvPr id="51" name="Chart 50">
          <a:extLst>
            <a:ext uri="{FF2B5EF4-FFF2-40B4-BE49-F238E27FC236}">
              <a16:creationId xmlns:a16="http://schemas.microsoft.com/office/drawing/2014/main" id="{46831C53-80AE-4B51-B287-0C7D41D83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0</xdr:row>
      <xdr:rowOff>120650</xdr:rowOff>
    </xdr:from>
    <xdr:to>
      <xdr:col>6</xdr:col>
      <xdr:colOff>419554</xdr:colOff>
      <xdr:row>15</xdr:row>
      <xdr:rowOff>56696</xdr:rowOff>
    </xdr:to>
    <mc:AlternateContent xmlns:mc="http://schemas.openxmlformats.org/markup-compatibility/2006">
      <mc:Choice xmlns:a14="http://schemas.microsoft.com/office/drawing/2010/main" Requires="a14">
        <xdr:graphicFrame macro="">
          <xdr:nvGraphicFramePr>
            <xdr:cNvPr id="52" name="Q1_Age&#10;&#10;  Q1. Age group  ">
              <a:extLst>
                <a:ext uri="{FF2B5EF4-FFF2-40B4-BE49-F238E27FC236}">
                  <a16:creationId xmlns:a16="http://schemas.microsoft.com/office/drawing/2014/main" id="{47745628-F33B-BFE1-BF80-566340EA34CA}"/>
                </a:ext>
              </a:extLst>
            </xdr:cNvPr>
            <xdr:cNvGraphicFramePr/>
          </xdr:nvGraphicFramePr>
          <xdr:xfrm>
            <a:off x="0" y="0"/>
            <a:ext cx="0" cy="0"/>
          </xdr:xfrm>
          <a:graphic>
            <a:graphicData uri="http://schemas.microsoft.com/office/drawing/2010/slicer">
              <sle:slicer xmlns:sle="http://schemas.microsoft.com/office/drawing/2010/slicer" name="Q1_Age&#10;&#10;  Q1. Age group  "/>
            </a:graphicData>
          </a:graphic>
        </xdr:graphicFrame>
      </mc:Choice>
      <mc:Fallback>
        <xdr:sp macro="" textlink="">
          <xdr:nvSpPr>
            <xdr:cNvPr id="0" name=""/>
            <xdr:cNvSpPr>
              <a:spLocks noTextEdit="1"/>
            </xdr:cNvSpPr>
          </xdr:nvSpPr>
          <xdr:spPr>
            <a:xfrm>
              <a:off x="47625" y="120650"/>
              <a:ext cx="4000500" cy="2355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4.536109722219" createdVersion="8" refreshedVersion="8" minRefreshableVersion="3" recordCount="31" xr:uid="{E850C627-3A7B-48E0-833E-A1E369DD76B6}">
  <cacheSource type="worksheet">
    <worksheetSource ref="C1:C1048576" sheet="Form responses 1"/>
  </cacheSource>
  <cacheFields count="1">
    <cacheField name="  Section A: Basic Information_x000a__x000a_  Q1. Age group  " numFmtId="0">
      <sharedItems containsBlank="1" count="5">
        <s v="18-25"/>
        <s v="Above 35"/>
        <s v="26-35"/>
        <s v="Below 18"/>
        <m/>
      </sharedItems>
    </cacheField>
  </cacheFields>
  <extLst>
    <ext xmlns:x14="http://schemas.microsoft.com/office/spreadsheetml/2009/9/main" uri="{725AE2AE-9491-48be-B2B4-4EB974FC3084}">
      <x14:pivotCacheDefinition pivotCacheId="133492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799900925929" createdVersion="8" refreshedVersion="8" minRefreshableVersion="3" recordCount="30" xr:uid="{B325DE94-D5B6-472E-8D86-DBD6769F5E22}">
  <cacheSource type="worksheet">
    <worksheetSource name="Form_Responses"/>
  </cacheSource>
  <cacheFields count="10">
    <cacheField name="Q1_Age_x000a__x000a_  Q1. Age group  " numFmtId="0">
      <sharedItems count="4">
        <s v="18-25"/>
        <s v="Above 35"/>
        <s v="26-35"/>
        <s v="Below 18"/>
      </sharedItems>
    </cacheField>
    <cacheField name="Q2_ShoppingFrequency_x000a__x000a_  Q2. How often do you shop online?" numFmtId="0">
      <sharedItems count="3">
        <s v="Frequently"/>
        <s v="Occasionally"/>
        <s v="Rarely"/>
      </sharedItems>
    </cacheField>
    <cacheField name="Q3_ChatbotFamiliarity_x000a__x000a_  Q3. How familiar are you with AI chatbots on e-commerce websites?_x000a_" numFmtId="0">
      <sharedItems count="3">
        <s v="Somewhat familiar (used once or twice)"/>
        <s v="Very familiar (used often)"/>
        <s v="Aware but rarely used"/>
      </sharedItems>
    </cacheField>
    <cacheField name="Q4_EasyToUse_x000a_  (1 = Strongly Disagree, 5 = Strongly Agree)   _x000a__x000a_   Q4. The chatbot was easy to use  _x000a_" numFmtId="0">
      <sharedItems containsSemiMixedTypes="0" containsString="0" containsNumber="1" containsInteger="1" minValue="1" maxValue="5" count="5">
        <n v="5"/>
        <n v="4"/>
        <n v="3"/>
        <n v="2"/>
        <n v="1"/>
      </sharedItems>
    </cacheField>
    <cacheField name="Q5_UnderstandsEmotions_x000a_" numFmtId="0">
      <sharedItems containsSemiMixedTypes="0" containsString="0" containsNumber="1" containsInteger="1" minValue="1" maxValue="5" count="5">
        <n v="5"/>
        <n v="4"/>
        <n v="2"/>
        <n v="3"/>
        <n v="1"/>
      </sharedItems>
    </cacheField>
    <cacheField name="Q6_HelpedPurchaseDecision_x000a_  (1 = Strongly Disagree, 5 = Strongly Agree)   _x000a__x000a_  Q6. The chatbot helped me make a purchase decision _x000a_" numFmtId="0">
      <sharedItems containsSemiMixedTypes="0" containsString="0" containsNumber="1" containsInteger="1" minValue="1" maxValue="5" count="5">
        <n v="5"/>
        <n v="2"/>
        <n v="3"/>
        <n v="4"/>
        <n v="1"/>
      </sharedItems>
    </cacheField>
    <cacheField name="Q7_HelpedChooseFeatures_x000a_  (1 = Strongly Disagree, 5 = Strongly Agree)   _x000a__x000a_  Q7. The chatbot helped me choose product features (size, color, design, etc.) _x000a_" numFmtId="0">
      <sharedItems containsSemiMixedTypes="0" containsString="0" containsNumber="1" containsInteger="1" minValue="1" maxValue="5" count="5">
        <n v="5"/>
        <n v="3"/>
        <n v="4"/>
        <n v="2"/>
        <n v="1"/>
      </sharedItems>
    </cacheField>
    <cacheField name="Q8_FeltConfident_x000a_  (1 = Strongly Disagree, 5 = Strongly Agree)   _x000a__x000a_  Q8. I felt more confident after interacting with the chatbot _x000a_" numFmtId="0">
      <sharedItems containsSemiMixedTypes="0" containsString="0" containsNumber="1" containsInteger="1" minValue="1" maxValue="5" count="5">
        <n v="5"/>
        <n v="3"/>
        <n v="4"/>
        <n v="1"/>
        <n v="2"/>
      </sharedItems>
    </cacheField>
    <cacheField name="Q9_OverallSatisfaction _x000a_  (1 = Strongly Disagree, 5 = Strongly Agree)   _x000a__x000a_  Q9. Overall, I am satisfied with the chatbot service _x000a_" numFmtId="0">
      <sharedItems containsSemiMixedTypes="0" containsString="0" containsNumber="1" containsInteger="1" minValue="1" maxValue="5" count="5">
        <n v="5"/>
        <n v="2"/>
        <n v="3"/>
        <n v="4"/>
        <n v="1"/>
      </sharedItems>
    </cacheField>
    <cacheField name="Q10_PreferChatbotWebsites _x000a_  (1 = Strongly Disagree, 5 = Strongly Agree)   _x000a__x000a_  Q10. I would prefer shopping on websites that provide chatbot support _x000a_" numFmtId="0">
      <sharedItems containsSemiMixedTypes="0" containsString="0" containsNumber="1" containsInteger="1" minValue="1" maxValue="5" count="5">
        <n v="5"/>
        <n v="2"/>
        <n v="3"/>
        <n v="4"/>
        <n v="1"/>
      </sharedItems>
    </cacheField>
  </cacheFields>
  <extLst>
    <ext xmlns:x14="http://schemas.microsoft.com/office/spreadsheetml/2009/9/main" uri="{725AE2AE-9491-48be-B2B4-4EB974FC3084}">
      <x14:pivotCacheDefinition pivotCacheId="2075781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r>
  <r>
    <x v="0"/>
  </r>
  <r>
    <x v="0"/>
  </r>
  <r>
    <x v="0"/>
  </r>
  <r>
    <x v="0"/>
  </r>
  <r>
    <x v="0"/>
  </r>
  <r>
    <x v="0"/>
  </r>
  <r>
    <x v="0"/>
  </r>
  <r>
    <x v="0"/>
  </r>
  <r>
    <x v="0"/>
  </r>
  <r>
    <x v="0"/>
  </r>
  <r>
    <x v="0"/>
  </r>
  <r>
    <x v="0"/>
  </r>
  <r>
    <x v="0"/>
  </r>
  <r>
    <x v="0"/>
  </r>
  <r>
    <x v="0"/>
  </r>
  <r>
    <x v="0"/>
  </r>
  <r>
    <x v="1"/>
  </r>
  <r>
    <x v="1"/>
  </r>
  <r>
    <x v="2"/>
  </r>
  <r>
    <x v="1"/>
  </r>
  <r>
    <x v="1"/>
  </r>
  <r>
    <x v="1"/>
  </r>
  <r>
    <x v="1"/>
  </r>
  <r>
    <x v="1"/>
  </r>
  <r>
    <x v="2"/>
  </r>
  <r>
    <x v="0"/>
  </r>
  <r>
    <x v="2"/>
  </r>
  <r>
    <x v="1"/>
  </r>
  <r>
    <x v="3"/>
  </r>
  <r>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x v="0"/>
    <x v="0"/>
    <x v="0"/>
  </r>
  <r>
    <x v="0"/>
    <x v="1"/>
    <x v="1"/>
    <x v="0"/>
    <x v="1"/>
    <x v="0"/>
    <x v="0"/>
    <x v="0"/>
    <x v="0"/>
    <x v="0"/>
  </r>
  <r>
    <x v="0"/>
    <x v="0"/>
    <x v="0"/>
    <x v="1"/>
    <x v="2"/>
    <x v="1"/>
    <x v="1"/>
    <x v="1"/>
    <x v="1"/>
    <x v="1"/>
  </r>
  <r>
    <x v="0"/>
    <x v="1"/>
    <x v="1"/>
    <x v="0"/>
    <x v="1"/>
    <x v="1"/>
    <x v="2"/>
    <x v="0"/>
    <x v="2"/>
    <x v="2"/>
  </r>
  <r>
    <x v="0"/>
    <x v="1"/>
    <x v="1"/>
    <x v="1"/>
    <x v="3"/>
    <x v="2"/>
    <x v="1"/>
    <x v="1"/>
    <x v="3"/>
    <x v="2"/>
  </r>
  <r>
    <x v="0"/>
    <x v="1"/>
    <x v="1"/>
    <x v="1"/>
    <x v="4"/>
    <x v="2"/>
    <x v="1"/>
    <x v="1"/>
    <x v="2"/>
    <x v="2"/>
  </r>
  <r>
    <x v="0"/>
    <x v="1"/>
    <x v="2"/>
    <x v="2"/>
    <x v="2"/>
    <x v="1"/>
    <x v="1"/>
    <x v="1"/>
    <x v="2"/>
    <x v="2"/>
  </r>
  <r>
    <x v="0"/>
    <x v="0"/>
    <x v="0"/>
    <x v="1"/>
    <x v="1"/>
    <x v="2"/>
    <x v="1"/>
    <x v="2"/>
    <x v="3"/>
    <x v="3"/>
  </r>
  <r>
    <x v="0"/>
    <x v="1"/>
    <x v="2"/>
    <x v="0"/>
    <x v="1"/>
    <x v="3"/>
    <x v="2"/>
    <x v="2"/>
    <x v="2"/>
    <x v="4"/>
  </r>
  <r>
    <x v="0"/>
    <x v="0"/>
    <x v="1"/>
    <x v="2"/>
    <x v="4"/>
    <x v="1"/>
    <x v="1"/>
    <x v="3"/>
    <x v="4"/>
    <x v="4"/>
  </r>
  <r>
    <x v="0"/>
    <x v="1"/>
    <x v="2"/>
    <x v="0"/>
    <x v="1"/>
    <x v="2"/>
    <x v="0"/>
    <x v="0"/>
    <x v="3"/>
    <x v="0"/>
  </r>
  <r>
    <x v="0"/>
    <x v="2"/>
    <x v="1"/>
    <x v="0"/>
    <x v="3"/>
    <x v="1"/>
    <x v="2"/>
    <x v="1"/>
    <x v="3"/>
    <x v="3"/>
  </r>
  <r>
    <x v="0"/>
    <x v="0"/>
    <x v="1"/>
    <x v="0"/>
    <x v="0"/>
    <x v="0"/>
    <x v="0"/>
    <x v="0"/>
    <x v="0"/>
    <x v="0"/>
  </r>
  <r>
    <x v="0"/>
    <x v="0"/>
    <x v="1"/>
    <x v="0"/>
    <x v="0"/>
    <x v="3"/>
    <x v="0"/>
    <x v="2"/>
    <x v="0"/>
    <x v="0"/>
  </r>
  <r>
    <x v="0"/>
    <x v="0"/>
    <x v="0"/>
    <x v="2"/>
    <x v="3"/>
    <x v="3"/>
    <x v="2"/>
    <x v="1"/>
    <x v="3"/>
    <x v="3"/>
  </r>
  <r>
    <x v="0"/>
    <x v="1"/>
    <x v="1"/>
    <x v="0"/>
    <x v="2"/>
    <x v="2"/>
    <x v="3"/>
    <x v="4"/>
    <x v="1"/>
    <x v="1"/>
  </r>
  <r>
    <x v="0"/>
    <x v="1"/>
    <x v="1"/>
    <x v="0"/>
    <x v="1"/>
    <x v="3"/>
    <x v="2"/>
    <x v="2"/>
    <x v="2"/>
    <x v="3"/>
  </r>
  <r>
    <x v="1"/>
    <x v="1"/>
    <x v="2"/>
    <x v="2"/>
    <x v="4"/>
    <x v="4"/>
    <x v="1"/>
    <x v="4"/>
    <x v="1"/>
    <x v="2"/>
  </r>
  <r>
    <x v="1"/>
    <x v="0"/>
    <x v="0"/>
    <x v="3"/>
    <x v="4"/>
    <x v="2"/>
    <x v="4"/>
    <x v="4"/>
    <x v="1"/>
    <x v="2"/>
  </r>
  <r>
    <x v="2"/>
    <x v="2"/>
    <x v="1"/>
    <x v="3"/>
    <x v="0"/>
    <x v="4"/>
    <x v="4"/>
    <x v="3"/>
    <x v="0"/>
    <x v="4"/>
  </r>
  <r>
    <x v="1"/>
    <x v="1"/>
    <x v="2"/>
    <x v="3"/>
    <x v="2"/>
    <x v="1"/>
    <x v="3"/>
    <x v="4"/>
    <x v="1"/>
    <x v="1"/>
  </r>
  <r>
    <x v="1"/>
    <x v="1"/>
    <x v="1"/>
    <x v="2"/>
    <x v="3"/>
    <x v="2"/>
    <x v="1"/>
    <x v="1"/>
    <x v="2"/>
    <x v="2"/>
  </r>
  <r>
    <x v="1"/>
    <x v="0"/>
    <x v="1"/>
    <x v="0"/>
    <x v="0"/>
    <x v="0"/>
    <x v="0"/>
    <x v="0"/>
    <x v="0"/>
    <x v="0"/>
  </r>
  <r>
    <x v="1"/>
    <x v="0"/>
    <x v="0"/>
    <x v="4"/>
    <x v="0"/>
    <x v="2"/>
    <x v="4"/>
    <x v="3"/>
    <x v="4"/>
    <x v="4"/>
  </r>
  <r>
    <x v="1"/>
    <x v="0"/>
    <x v="2"/>
    <x v="2"/>
    <x v="3"/>
    <x v="4"/>
    <x v="4"/>
    <x v="4"/>
    <x v="2"/>
    <x v="2"/>
  </r>
  <r>
    <x v="2"/>
    <x v="1"/>
    <x v="0"/>
    <x v="2"/>
    <x v="2"/>
    <x v="4"/>
    <x v="4"/>
    <x v="4"/>
    <x v="1"/>
    <x v="1"/>
  </r>
  <r>
    <x v="0"/>
    <x v="1"/>
    <x v="1"/>
    <x v="1"/>
    <x v="3"/>
    <x v="3"/>
    <x v="1"/>
    <x v="2"/>
    <x v="0"/>
    <x v="0"/>
  </r>
  <r>
    <x v="2"/>
    <x v="1"/>
    <x v="0"/>
    <x v="1"/>
    <x v="2"/>
    <x v="4"/>
    <x v="4"/>
    <x v="4"/>
    <x v="2"/>
    <x v="0"/>
  </r>
  <r>
    <x v="1"/>
    <x v="2"/>
    <x v="2"/>
    <x v="2"/>
    <x v="2"/>
    <x v="1"/>
    <x v="1"/>
    <x v="3"/>
    <x v="4"/>
    <x v="3"/>
  </r>
  <r>
    <x v="3"/>
    <x v="0"/>
    <x v="1"/>
    <x v="1"/>
    <x v="2"/>
    <x v="4"/>
    <x v="3"/>
    <x v="2"/>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7FE651-EA04-4ECD-AF3B-7BEE26A401F0}"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35" firstHeaderRow="1" firstDataRow="1" firstDataCol="1" rowPageCount="1" colPageCount="1"/>
  <pivotFields count="10">
    <pivotField axis="axisPage" multipleItemSelectionAllowed="1" showAll="0">
      <items count="5">
        <item x="0"/>
        <item x="2"/>
        <item x="1"/>
        <item x="3"/>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0" hier="-1"/>
  </pageFields>
  <dataFields count="1">
    <dataField name="Chatbot Familiarity" fld="2" subtotal="count" showDataAs="percentOfCol" baseField="2" baseItem="1" numFmtId="10"/>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3EDB3-0929-42B9-BE35-9259AAA3BDA3}"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28" firstHeaderRow="1" firstDataRow="1" firstDataCol="1" rowPageCount="1" colPageCount="1"/>
  <pivotFields count="10">
    <pivotField axis="axisPage" multipleItemSelectionAllowed="1" showAll="0">
      <items count="5">
        <item x="0"/>
        <item x="2"/>
        <item x="1"/>
        <item x="3"/>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pageFields count="1">
    <pageField fld="0" hier="-1"/>
  </pageFields>
  <dataFields count="1">
    <dataField name="Shopping Frequency" fld="1" subtotal="count" showDataAs="percentOfCol" baseField="1" baseItem="0" numFmtId="1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562A6-DB5B-445E-8111-5614C81591BB}" name="PivotTable11" cacheId="4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0" firstHeaderRow="1" firstDataRow="1" firstDataCol="1" rowPageCount="3" colPageCount="1"/>
  <pivotFields count="10">
    <pivotField axis="axisPage" multipleItemSelectionAllowed="1" showAll="0">
      <items count="5">
        <item x="0"/>
        <item x="2"/>
        <item x="1"/>
        <item x="3"/>
        <item t="default"/>
      </items>
    </pivotField>
    <pivotField axis="axisPage" showAll="0">
      <items count="4">
        <item x="0"/>
        <item x="1"/>
        <item x="2"/>
        <item t="default"/>
      </items>
    </pivotField>
    <pivotField axis="axisPage" showAll="0">
      <items count="4">
        <item x="2"/>
        <item x="0"/>
        <item x="1"/>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7">
    <i>
      <x/>
    </i>
    <i i="1">
      <x v="1"/>
    </i>
    <i i="2">
      <x v="2"/>
    </i>
    <i i="3">
      <x v="3"/>
    </i>
    <i i="4">
      <x v="4"/>
    </i>
    <i i="5">
      <x v="5"/>
    </i>
    <i i="6">
      <x v="6"/>
    </i>
  </rowItems>
  <colItems count="1">
    <i/>
  </colItems>
  <pageFields count="3">
    <pageField fld="0" hier="-1"/>
    <pageField fld="1" hier="-1"/>
    <pageField fld="2" hier="-1"/>
  </pageFields>
  <dataFields count="7">
    <dataField name="Q4 Easy To Use" fld="3" subtotal="average" baseField="0" baseItem="0" numFmtId="2"/>
    <dataField name="Q5 Understands Emotions" fld="4" subtotal="average" baseField="0" baseItem="0"/>
    <dataField name="Q6 Purchase Decision" fld="5" subtotal="average" baseField="0" baseItem="0"/>
    <dataField name="Q7 Feature Selection" fld="6" subtotal="average" baseField="0" baseItem="0"/>
    <dataField name="Q8 User Confidence" fld="7" subtotal="average" baseField="0" baseItem="0"/>
    <dataField name="Q9 Satisfaction " fld="8" subtotal="average" baseField="0" baseItem="0"/>
    <dataField name="Q10 Preference " fld="9" subtotal="average"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2A3687-615A-4CEC-BB16-B1A33F17A7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B7" firstHeaderRow="1" firstDataRow="1" firstDataCol="1"/>
  <pivotFields count="1">
    <pivotField name="Age" axis="axisRow" dataField="1" showAll="0">
      <items count="6">
        <item x="3"/>
        <item x="0"/>
        <item x="2"/>
        <item x="1"/>
        <item h="1" x="4"/>
        <item t="default"/>
      </items>
    </pivotField>
  </pivotFields>
  <rowFields count="1">
    <field x="0"/>
  </rowFields>
  <rowItems count="5">
    <i>
      <x/>
    </i>
    <i>
      <x v="1"/>
    </i>
    <i>
      <x v="2"/>
    </i>
    <i>
      <x v="3"/>
    </i>
    <i t="grand">
      <x/>
    </i>
  </rowItems>
  <colItems count="1">
    <i/>
  </colItems>
  <dataFields count="1">
    <dataField name="Age Group_x000a__x000a_  Q1. Age group  " fld="0" subtotal="count"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0" count="1" selected="0">
            <x v="0"/>
          </reference>
        </references>
      </pivotArea>
    </chartFormat>
    <chartFormat chart="35" format="8">
      <pivotArea type="data" outline="0" fieldPosition="0">
        <references count="2">
          <reference field="4294967294" count="1" selected="0">
            <x v="0"/>
          </reference>
          <reference field="0" count="1" selected="0">
            <x v="1"/>
          </reference>
        </references>
      </pivotArea>
    </chartFormat>
    <chartFormat chart="35" format="9">
      <pivotArea type="data" outline="0" fieldPosition="0">
        <references count="2">
          <reference field="4294967294" count="1" selected="0">
            <x v="0"/>
          </reference>
          <reference field="0" count="1" selected="0">
            <x v="2"/>
          </reference>
        </references>
      </pivotArea>
    </chartFormat>
    <chartFormat chart="35" format="10">
      <pivotArea type="data" outline="0" fieldPosition="0">
        <references count="2">
          <reference field="4294967294" count="1" selected="0">
            <x v="0"/>
          </reference>
          <reference field="0"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1_Age____Q1._Age_group" xr10:uid="{014164E3-F125-436D-AD68-DDCE72B085D6}" sourceName="Q1_Age_x000a__x000a_  Q1. Age group  ">
  <pivotTables>
    <pivotTable tabId="2" name="PivotTable11"/>
    <pivotTable tabId="2" name="PivotTable12"/>
    <pivotTable tabId="2" name="PivotTable13"/>
  </pivotTables>
  <data>
    <tabular pivotCacheId="207578153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1_Age_x000a__x000a_  Q1. Age group  " xr10:uid="{12BFB68F-9406-47C8-AFA8-56EDB655DD6F}" cache="Slicer_Q1_Age____Q1._Age_group" caption="Q1_Age_x000a__x000a_  Q1. Age group  "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31">
  <tableColumns count="10">
    <tableColumn id="3" xr3:uid="{00000000-0010-0000-0000-000003000000}" name="Q1_Age_x000a__x000a_  Q1. Age group  "/>
    <tableColumn id="4" xr3:uid="{00000000-0010-0000-0000-000004000000}" name="Q2_ShoppingFrequency_x000a__x000a_  Q2. How often do you shop online?"/>
    <tableColumn id="5" xr3:uid="{00000000-0010-0000-0000-000005000000}" name="Q3_ChatbotFamiliarity_x000a__x000a_  Q3. How familiar are you with AI chatbots on e-commerce websites?_x000a_"/>
    <tableColumn id="6" xr3:uid="{00000000-0010-0000-0000-000006000000}" name="Q4_EasyToUse_x000a_  (1 = Strongly Disagree, 5 = Strongly Agree)   _x000a__x000a_   Q4. The chatbot was easy to use  _x000a_"/>
    <tableColumn id="7" xr3:uid="{00000000-0010-0000-0000-000007000000}" name="Q5_UnderstandsEmotions_x000a_"/>
    <tableColumn id="8" xr3:uid="{00000000-0010-0000-0000-000008000000}" name="Q6_HelpedPurchaseDecision_x000a_  (1 = Strongly Disagree, 5 = Strongly Agree)   _x000a__x000a_  Q6. The chatbot helped me make a purchase decision _x000a_"/>
    <tableColumn id="9" xr3:uid="{00000000-0010-0000-0000-000009000000}" name="Q7_HelpedChooseFeatures_x000a_  (1 = Strongly Disagree, 5 = Strongly Agree)   _x000a__x000a_  Q7. The chatbot helped me choose product features (size, color, design, etc.) _x000a_"/>
    <tableColumn id="10" xr3:uid="{00000000-0010-0000-0000-00000A000000}" name="Q8_FeltConfident_x000a_  (1 = Strongly Disagree, 5 = Strongly Agree)   _x000a__x000a_  Q8. I felt more confident after interacting with the chatbot _x000a_"/>
    <tableColumn id="11" xr3:uid="{00000000-0010-0000-0000-00000B000000}" name="Q9_OverallSatisfaction _x000a_  (1 = Strongly Disagree, 5 = Strongly Agree)   _x000a__x000a_  Q9. Overall, I am satisfied with the chatbot service _x000a_"/>
    <tableColumn id="12" xr3:uid="{00000000-0010-0000-0000-00000C000000}" name="Q10_PreferChatbotWebsites _x000a_  (1 = Strongly Disagree, 5 = Strongly Agree)   _x000a__x000a_  Q10. I would prefer shopping on websites that provide chatbot support _x000a_"/>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764D-2742-4528-96A8-E61FC304E218}">
  <dimension ref="A2:J35"/>
  <sheetViews>
    <sheetView zoomScale="67" workbookViewId="0">
      <selection activeCell="D13" sqref="D13:E18"/>
    </sheetView>
  </sheetViews>
  <sheetFormatPr defaultRowHeight="12.5" x14ac:dyDescent="0.25"/>
  <cols>
    <col min="1" max="1" width="75.6328125" customWidth="1"/>
    <col min="2" max="2" width="18.08984375" bestFit="1" customWidth="1"/>
    <col min="3" max="3" width="13" customWidth="1"/>
    <col min="4" max="4" width="24.90625" bestFit="1" customWidth="1"/>
    <col min="5" max="5" width="29.6328125" bestFit="1" customWidth="1"/>
    <col min="6" max="6" width="35" bestFit="1" customWidth="1"/>
    <col min="7" max="7" width="17.26953125" bestFit="1" customWidth="1"/>
    <col min="8" max="8" width="24.453125" customWidth="1"/>
    <col min="9" max="9" width="19.54296875" customWidth="1"/>
    <col min="10" max="10" width="24.7265625" customWidth="1"/>
    <col min="11" max="11" width="17.1796875" customWidth="1"/>
  </cols>
  <sheetData>
    <row r="2" spans="1:10" x14ac:dyDescent="0.25">
      <c r="A2" s="2" t="s">
        <v>10</v>
      </c>
      <c r="B2" s="3" t="s">
        <v>29</v>
      </c>
    </row>
    <row r="3" spans="1:10" x14ac:dyDescent="0.25">
      <c r="A3" s="4" t="s">
        <v>9</v>
      </c>
      <c r="B3" s="7">
        <v>3.3333333333333333E-2</v>
      </c>
    </row>
    <row r="4" spans="1:10" x14ac:dyDescent="0.25">
      <c r="A4" s="5" t="s">
        <v>0</v>
      </c>
      <c r="B4" s="8">
        <v>0.6</v>
      </c>
    </row>
    <row r="5" spans="1:10" x14ac:dyDescent="0.25">
      <c r="A5" s="5" t="s">
        <v>8</v>
      </c>
      <c r="B5" s="8">
        <v>0.1</v>
      </c>
    </row>
    <row r="6" spans="1:10" x14ac:dyDescent="0.25">
      <c r="A6" s="5" t="s">
        <v>7</v>
      </c>
      <c r="B6" s="8">
        <v>0.26666666666666666</v>
      </c>
    </row>
    <row r="7" spans="1:10" ht="13" x14ac:dyDescent="0.25">
      <c r="A7" s="6" t="s">
        <v>11</v>
      </c>
      <c r="B7" s="9">
        <v>1</v>
      </c>
      <c r="I7" s="11" t="s">
        <v>15</v>
      </c>
      <c r="J7" s="11" t="s">
        <v>12</v>
      </c>
    </row>
    <row r="8" spans="1:10" x14ac:dyDescent="0.25">
      <c r="I8" s="10">
        <v>1</v>
      </c>
      <c r="J8" s="10" t="s">
        <v>16</v>
      </c>
    </row>
    <row r="9" spans="1:10" x14ac:dyDescent="0.25">
      <c r="A9" s="14" t="s">
        <v>19</v>
      </c>
      <c r="B9" s="15" t="s">
        <v>31</v>
      </c>
      <c r="I9" s="10">
        <v>1.81</v>
      </c>
      <c r="J9" s="10" t="s">
        <v>17</v>
      </c>
    </row>
    <row r="10" spans="1:10" x14ac:dyDescent="0.25">
      <c r="A10" s="14" t="s">
        <v>20</v>
      </c>
      <c r="B10" s="15" t="s">
        <v>31</v>
      </c>
      <c r="I10" s="10">
        <v>2.61</v>
      </c>
      <c r="J10" s="10" t="s">
        <v>14</v>
      </c>
    </row>
    <row r="11" spans="1:10" x14ac:dyDescent="0.25">
      <c r="A11" s="14" t="s">
        <v>21</v>
      </c>
      <c r="B11" s="15" t="s">
        <v>31</v>
      </c>
      <c r="I11" s="10">
        <v>3.41</v>
      </c>
      <c r="J11" s="10" t="s">
        <v>13</v>
      </c>
    </row>
    <row r="12" spans="1:10" x14ac:dyDescent="0.25">
      <c r="I12" s="10">
        <v>4.21</v>
      </c>
      <c r="J12" s="10" t="s">
        <v>18</v>
      </c>
    </row>
    <row r="13" spans="1:10" ht="13" x14ac:dyDescent="0.25">
      <c r="A13" s="2" t="s">
        <v>30</v>
      </c>
      <c r="B13" s="3"/>
      <c r="C13" t="s">
        <v>12</v>
      </c>
      <c r="D13" s="11" t="s">
        <v>15</v>
      </c>
      <c r="E13" s="11" t="s">
        <v>12</v>
      </c>
    </row>
    <row r="14" spans="1:10" x14ac:dyDescent="0.25">
      <c r="A14" s="4" t="s">
        <v>32</v>
      </c>
      <c r="B14" s="16">
        <v>3.8</v>
      </c>
      <c r="C14" t="str">
        <f>VLOOKUP(B14,$I$7:$J$12,2,1)</f>
        <v>Agree</v>
      </c>
      <c r="D14" s="10">
        <v>1</v>
      </c>
      <c r="E14" s="10" t="s">
        <v>16</v>
      </c>
    </row>
    <row r="15" spans="1:10" x14ac:dyDescent="0.25">
      <c r="A15" s="5" t="s">
        <v>33</v>
      </c>
      <c r="B15" s="17">
        <v>3.0666666666666669</v>
      </c>
      <c r="C15" t="str">
        <f>VLOOKUP(B15,$I$7:$J$12,2,1)</f>
        <v>Neutral</v>
      </c>
      <c r="D15" s="10">
        <v>1.81</v>
      </c>
      <c r="E15" s="10" t="s">
        <v>17</v>
      </c>
    </row>
    <row r="16" spans="1:10" x14ac:dyDescent="0.25">
      <c r="A16" s="5" t="s">
        <v>34</v>
      </c>
      <c r="B16" s="17">
        <v>2.8</v>
      </c>
      <c r="C16" t="str">
        <f>VLOOKUP(B16,$I$7:$J$12,2,1)</f>
        <v>Neutral</v>
      </c>
      <c r="D16" s="10">
        <v>2.61</v>
      </c>
      <c r="E16" s="10" t="s">
        <v>14</v>
      </c>
    </row>
    <row r="17" spans="1:5" x14ac:dyDescent="0.25">
      <c r="A17" s="5" t="s">
        <v>35</v>
      </c>
      <c r="B17" s="17">
        <v>3.0666666666666669</v>
      </c>
      <c r="C17" t="str">
        <f>VLOOKUP(B15,$I$7:$J$12,2,1)</f>
        <v>Neutral</v>
      </c>
      <c r="D17" s="10">
        <v>3.41</v>
      </c>
      <c r="E17" s="10" t="s">
        <v>13</v>
      </c>
    </row>
    <row r="18" spans="1:5" x14ac:dyDescent="0.25">
      <c r="A18" s="5" t="s">
        <v>36</v>
      </c>
      <c r="B18" s="17">
        <v>3.1</v>
      </c>
      <c r="C18" t="str">
        <f>VLOOKUP(B16,$I$7:$J$12,2,1)</f>
        <v>Neutral</v>
      </c>
      <c r="D18" s="10">
        <v>4.21</v>
      </c>
      <c r="E18" s="10" t="s">
        <v>18</v>
      </c>
    </row>
    <row r="19" spans="1:5" x14ac:dyDescent="0.25">
      <c r="A19" s="5" t="s">
        <v>37</v>
      </c>
      <c r="B19" s="17">
        <v>3.2666666666666666</v>
      </c>
      <c r="C19" t="str">
        <f>VLOOKUP(B17,$I$7:$J$12,2,1)</f>
        <v>Neutral</v>
      </c>
    </row>
    <row r="20" spans="1:5" x14ac:dyDescent="0.25">
      <c r="A20" s="13" t="s">
        <v>38</v>
      </c>
      <c r="B20" s="18">
        <v>3.3666666666666667</v>
      </c>
      <c r="C20" t="str">
        <f>VLOOKUP(B18,$I$7:$J$12,2,1)</f>
        <v>Neutral</v>
      </c>
    </row>
    <row r="22" spans="1:5" x14ac:dyDescent="0.25">
      <c r="A22" s="14" t="s">
        <v>19</v>
      </c>
      <c r="B22" s="15" t="s">
        <v>31</v>
      </c>
    </row>
    <row r="24" spans="1:5" x14ac:dyDescent="0.25">
      <c r="A24" s="2" t="s">
        <v>10</v>
      </c>
      <c r="B24" s="3" t="s">
        <v>39</v>
      </c>
    </row>
    <row r="25" spans="1:5" x14ac:dyDescent="0.25">
      <c r="A25" s="4" t="s">
        <v>1</v>
      </c>
      <c r="B25" s="7">
        <v>0.4</v>
      </c>
    </row>
    <row r="26" spans="1:5" x14ac:dyDescent="0.25">
      <c r="A26" s="5" t="s">
        <v>3</v>
      </c>
      <c r="B26" s="8">
        <v>0.5</v>
      </c>
    </row>
    <row r="27" spans="1:5" x14ac:dyDescent="0.25">
      <c r="A27" s="5" t="s">
        <v>6</v>
      </c>
      <c r="B27" s="8">
        <v>0.1</v>
      </c>
    </row>
    <row r="28" spans="1:5" x14ac:dyDescent="0.25">
      <c r="A28" s="6" t="s">
        <v>11</v>
      </c>
      <c r="B28" s="9">
        <v>1</v>
      </c>
    </row>
    <row r="29" spans="1:5" x14ac:dyDescent="0.25">
      <c r="A29" s="14" t="s">
        <v>19</v>
      </c>
      <c r="B29" s="15" t="s">
        <v>31</v>
      </c>
    </row>
    <row r="31" spans="1:5" x14ac:dyDescent="0.25">
      <c r="A31" s="2" t="s">
        <v>10</v>
      </c>
      <c r="B31" s="3" t="s">
        <v>40</v>
      </c>
    </row>
    <row r="32" spans="1:5" x14ac:dyDescent="0.25">
      <c r="A32" s="4" t="s">
        <v>5</v>
      </c>
      <c r="B32" s="7">
        <v>0.23333333333333334</v>
      </c>
    </row>
    <row r="33" spans="1:2" x14ac:dyDescent="0.25">
      <c r="A33" s="5" t="s">
        <v>2</v>
      </c>
      <c r="B33" s="8">
        <v>0.26666666666666666</v>
      </c>
    </row>
    <row r="34" spans="1:2" x14ac:dyDescent="0.25">
      <c r="A34" s="5" t="s">
        <v>4</v>
      </c>
      <c r="B34" s="8">
        <v>0.5</v>
      </c>
    </row>
    <row r="35" spans="1:2" x14ac:dyDescent="0.25">
      <c r="A35" s="6" t="s">
        <v>11</v>
      </c>
      <c r="B35"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1721-875A-49F4-8DF7-2B0C868A1546}">
  <dimension ref="A1"/>
  <sheetViews>
    <sheetView showGridLines="0" tabSelected="1" zoomScale="63" zoomScaleNormal="75" workbookViewId="0">
      <selection activeCell="X31" sqref="X31:Y31"/>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1"/>
  <sheetViews>
    <sheetView workbookViewId="0">
      <pane ySplit="1" topLeftCell="A2" activePane="bottomLeft" state="frozen"/>
      <selection pane="bottomLeft" activeCell="C1" sqref="C1"/>
    </sheetView>
  </sheetViews>
  <sheetFormatPr defaultColWidth="12.6328125" defaultRowHeight="15.75" customHeight="1" x14ac:dyDescent="0.25"/>
  <cols>
    <col min="1" max="2" width="18.90625" customWidth="1"/>
    <col min="3" max="3" width="34.08984375" customWidth="1"/>
    <col min="4" max="4" width="38.1796875" customWidth="1"/>
    <col min="5" max="5" width="38.36328125" customWidth="1"/>
    <col min="6" max="6" width="39.6328125" customWidth="1"/>
    <col min="7" max="7" width="38.1796875" customWidth="1"/>
    <col min="8" max="12" width="37.6328125" customWidth="1"/>
    <col min="13" max="18" width="18.90625" customWidth="1"/>
  </cols>
  <sheetData>
    <row r="1" spans="1:10" ht="22.5" customHeight="1" x14ac:dyDescent="0.25">
      <c r="A1" s="12" t="s">
        <v>19</v>
      </c>
      <c r="B1" s="12" t="s">
        <v>20</v>
      </c>
      <c r="C1" s="12" t="s">
        <v>21</v>
      </c>
      <c r="D1" s="12" t="s">
        <v>22</v>
      </c>
      <c r="E1" s="12" t="s">
        <v>23</v>
      </c>
      <c r="F1" s="12" t="s">
        <v>24</v>
      </c>
      <c r="G1" s="12" t="s">
        <v>25</v>
      </c>
      <c r="H1" s="12" t="s">
        <v>26</v>
      </c>
      <c r="I1" s="12" t="s">
        <v>27</v>
      </c>
      <c r="J1" s="12" t="s">
        <v>28</v>
      </c>
    </row>
    <row r="2" spans="1:10" ht="22.5" customHeight="1" x14ac:dyDescent="0.25">
      <c r="A2" s="1" t="s">
        <v>0</v>
      </c>
      <c r="B2" s="1" t="s">
        <v>1</v>
      </c>
      <c r="C2" s="1" t="s">
        <v>2</v>
      </c>
      <c r="D2" s="1">
        <v>5</v>
      </c>
      <c r="E2" s="1">
        <v>5</v>
      </c>
      <c r="F2" s="1">
        <v>5</v>
      </c>
      <c r="G2" s="1">
        <v>5</v>
      </c>
      <c r="H2" s="1">
        <v>5</v>
      </c>
      <c r="I2" s="1">
        <v>5</v>
      </c>
      <c r="J2" s="1">
        <v>5</v>
      </c>
    </row>
    <row r="3" spans="1:10" ht="22.5" customHeight="1" x14ac:dyDescent="0.25">
      <c r="A3" s="1" t="s">
        <v>0</v>
      </c>
      <c r="B3" s="1" t="s">
        <v>3</v>
      </c>
      <c r="C3" s="1" t="s">
        <v>4</v>
      </c>
      <c r="D3" s="1">
        <v>5</v>
      </c>
      <c r="E3" s="1">
        <v>4</v>
      </c>
      <c r="F3" s="1">
        <v>5</v>
      </c>
      <c r="G3" s="1">
        <v>5</v>
      </c>
      <c r="H3" s="1">
        <v>5</v>
      </c>
      <c r="I3" s="1">
        <v>5</v>
      </c>
      <c r="J3" s="1">
        <v>5</v>
      </c>
    </row>
    <row r="4" spans="1:10" ht="22.5" customHeight="1" x14ac:dyDescent="0.25">
      <c r="A4" s="1" t="s">
        <v>0</v>
      </c>
      <c r="B4" s="1" t="s">
        <v>1</v>
      </c>
      <c r="C4" s="1" t="s">
        <v>2</v>
      </c>
      <c r="D4" s="1">
        <v>4</v>
      </c>
      <c r="E4" s="1">
        <v>2</v>
      </c>
      <c r="F4" s="1">
        <v>2</v>
      </c>
      <c r="G4" s="1">
        <v>3</v>
      </c>
      <c r="H4" s="1">
        <v>3</v>
      </c>
      <c r="I4" s="1">
        <v>2</v>
      </c>
      <c r="J4" s="1">
        <v>2</v>
      </c>
    </row>
    <row r="5" spans="1:10" ht="22.5" customHeight="1" x14ac:dyDescent="0.25">
      <c r="A5" s="1" t="s">
        <v>0</v>
      </c>
      <c r="B5" s="1" t="s">
        <v>3</v>
      </c>
      <c r="C5" s="1" t="s">
        <v>4</v>
      </c>
      <c r="D5" s="1">
        <v>5</v>
      </c>
      <c r="E5" s="1">
        <v>4</v>
      </c>
      <c r="F5" s="1">
        <v>2</v>
      </c>
      <c r="G5" s="1">
        <v>4</v>
      </c>
      <c r="H5" s="1">
        <v>5</v>
      </c>
      <c r="I5" s="1">
        <v>3</v>
      </c>
      <c r="J5" s="1">
        <v>3</v>
      </c>
    </row>
    <row r="6" spans="1:10" ht="22.5" customHeight="1" x14ac:dyDescent="0.25">
      <c r="A6" s="1" t="s">
        <v>0</v>
      </c>
      <c r="B6" s="1" t="s">
        <v>3</v>
      </c>
      <c r="C6" s="1" t="s">
        <v>4</v>
      </c>
      <c r="D6" s="1">
        <v>4</v>
      </c>
      <c r="E6" s="1">
        <v>3</v>
      </c>
      <c r="F6" s="1">
        <v>3</v>
      </c>
      <c r="G6" s="1">
        <v>3</v>
      </c>
      <c r="H6" s="1">
        <v>3</v>
      </c>
      <c r="I6" s="1">
        <v>4</v>
      </c>
      <c r="J6" s="1">
        <v>3</v>
      </c>
    </row>
    <row r="7" spans="1:10" ht="22.5" customHeight="1" x14ac:dyDescent="0.25">
      <c r="A7" s="1" t="s">
        <v>0</v>
      </c>
      <c r="B7" s="1" t="s">
        <v>3</v>
      </c>
      <c r="C7" s="1" t="s">
        <v>4</v>
      </c>
      <c r="D7" s="1">
        <v>4</v>
      </c>
      <c r="E7" s="1">
        <v>1</v>
      </c>
      <c r="F7" s="1">
        <v>3</v>
      </c>
      <c r="G7" s="1">
        <v>3</v>
      </c>
      <c r="H7" s="1">
        <v>3</v>
      </c>
      <c r="I7" s="1">
        <v>3</v>
      </c>
      <c r="J7" s="1">
        <v>3</v>
      </c>
    </row>
    <row r="8" spans="1:10" ht="22.5" customHeight="1" x14ac:dyDescent="0.25">
      <c r="A8" s="1" t="s">
        <v>0</v>
      </c>
      <c r="B8" s="1" t="s">
        <v>3</v>
      </c>
      <c r="C8" s="1" t="s">
        <v>5</v>
      </c>
      <c r="D8" s="1">
        <v>3</v>
      </c>
      <c r="E8" s="1">
        <v>2</v>
      </c>
      <c r="F8" s="1">
        <v>2</v>
      </c>
      <c r="G8" s="1">
        <v>3</v>
      </c>
      <c r="H8" s="1">
        <v>3</v>
      </c>
      <c r="I8" s="1">
        <v>3</v>
      </c>
      <c r="J8" s="1">
        <v>3</v>
      </c>
    </row>
    <row r="9" spans="1:10" ht="22.5" customHeight="1" x14ac:dyDescent="0.25">
      <c r="A9" s="1" t="s">
        <v>0</v>
      </c>
      <c r="B9" s="1" t="s">
        <v>1</v>
      </c>
      <c r="C9" s="1" t="s">
        <v>2</v>
      </c>
      <c r="D9" s="1">
        <v>4</v>
      </c>
      <c r="E9" s="1">
        <v>4</v>
      </c>
      <c r="F9" s="1">
        <v>3</v>
      </c>
      <c r="G9" s="1">
        <v>3</v>
      </c>
      <c r="H9" s="1">
        <v>4</v>
      </c>
      <c r="I9" s="1">
        <v>4</v>
      </c>
      <c r="J9" s="1">
        <v>4</v>
      </c>
    </row>
    <row r="10" spans="1:10" ht="22.5" customHeight="1" x14ac:dyDescent="0.25">
      <c r="A10" s="1" t="s">
        <v>0</v>
      </c>
      <c r="B10" s="1" t="s">
        <v>3</v>
      </c>
      <c r="C10" s="1" t="s">
        <v>5</v>
      </c>
      <c r="D10" s="1">
        <v>5</v>
      </c>
      <c r="E10" s="1">
        <v>4</v>
      </c>
      <c r="F10" s="1">
        <v>4</v>
      </c>
      <c r="G10" s="1">
        <v>4</v>
      </c>
      <c r="H10" s="1">
        <v>4</v>
      </c>
      <c r="I10" s="1">
        <v>3</v>
      </c>
      <c r="J10" s="1">
        <v>1</v>
      </c>
    </row>
    <row r="11" spans="1:10" ht="22.5" customHeight="1" x14ac:dyDescent="0.25">
      <c r="A11" s="1" t="s">
        <v>0</v>
      </c>
      <c r="B11" s="1" t="s">
        <v>1</v>
      </c>
      <c r="C11" s="1" t="s">
        <v>4</v>
      </c>
      <c r="D11" s="1">
        <v>3</v>
      </c>
      <c r="E11" s="1">
        <v>1</v>
      </c>
      <c r="F11" s="1">
        <v>2</v>
      </c>
      <c r="G11" s="1">
        <v>3</v>
      </c>
      <c r="H11" s="1">
        <v>1</v>
      </c>
      <c r="I11" s="1">
        <v>1</v>
      </c>
      <c r="J11" s="1">
        <v>1</v>
      </c>
    </row>
    <row r="12" spans="1:10" ht="22.5" customHeight="1" x14ac:dyDescent="0.25">
      <c r="A12" s="1" t="s">
        <v>0</v>
      </c>
      <c r="B12" s="1" t="s">
        <v>3</v>
      </c>
      <c r="C12" s="1" t="s">
        <v>5</v>
      </c>
      <c r="D12" s="1">
        <v>5</v>
      </c>
      <c r="E12" s="1">
        <v>4</v>
      </c>
      <c r="F12" s="1">
        <v>3</v>
      </c>
      <c r="G12" s="1">
        <v>5</v>
      </c>
      <c r="H12" s="1">
        <v>5</v>
      </c>
      <c r="I12" s="1">
        <v>4</v>
      </c>
      <c r="J12" s="1">
        <v>5</v>
      </c>
    </row>
    <row r="13" spans="1:10" ht="22.5" customHeight="1" x14ac:dyDescent="0.25">
      <c r="A13" s="1" t="s">
        <v>0</v>
      </c>
      <c r="B13" s="1" t="s">
        <v>6</v>
      </c>
      <c r="C13" s="1" t="s">
        <v>4</v>
      </c>
      <c r="D13" s="1">
        <v>5</v>
      </c>
      <c r="E13" s="1">
        <v>3</v>
      </c>
      <c r="F13" s="1">
        <v>2</v>
      </c>
      <c r="G13" s="1">
        <v>4</v>
      </c>
      <c r="H13" s="1">
        <v>3</v>
      </c>
      <c r="I13" s="1">
        <v>4</v>
      </c>
      <c r="J13" s="1">
        <v>4</v>
      </c>
    </row>
    <row r="14" spans="1:10" ht="22.5" customHeight="1" x14ac:dyDescent="0.25">
      <c r="A14" s="1" t="s">
        <v>0</v>
      </c>
      <c r="B14" s="1" t="s">
        <v>1</v>
      </c>
      <c r="C14" s="1" t="s">
        <v>4</v>
      </c>
      <c r="D14" s="1">
        <v>5</v>
      </c>
      <c r="E14" s="1">
        <v>5</v>
      </c>
      <c r="F14" s="1">
        <v>5</v>
      </c>
      <c r="G14" s="1">
        <v>5</v>
      </c>
      <c r="H14" s="1">
        <v>5</v>
      </c>
      <c r="I14" s="1">
        <v>5</v>
      </c>
      <c r="J14" s="1">
        <v>5</v>
      </c>
    </row>
    <row r="15" spans="1:10" ht="22.5" customHeight="1" x14ac:dyDescent="0.25">
      <c r="A15" s="1" t="s">
        <v>0</v>
      </c>
      <c r="B15" s="1" t="s">
        <v>1</v>
      </c>
      <c r="C15" s="1" t="s">
        <v>4</v>
      </c>
      <c r="D15" s="1">
        <v>5</v>
      </c>
      <c r="E15" s="1">
        <v>5</v>
      </c>
      <c r="F15" s="1">
        <v>4</v>
      </c>
      <c r="G15" s="1">
        <v>5</v>
      </c>
      <c r="H15" s="1">
        <v>4</v>
      </c>
      <c r="I15" s="1">
        <v>5</v>
      </c>
      <c r="J15" s="1">
        <v>5</v>
      </c>
    </row>
    <row r="16" spans="1:10" ht="22.5" customHeight="1" x14ac:dyDescent="0.25">
      <c r="A16" s="1" t="s">
        <v>0</v>
      </c>
      <c r="B16" s="1" t="s">
        <v>1</v>
      </c>
      <c r="C16" s="1" t="s">
        <v>2</v>
      </c>
      <c r="D16" s="1">
        <v>3</v>
      </c>
      <c r="E16" s="1">
        <v>3</v>
      </c>
      <c r="F16" s="1">
        <v>4</v>
      </c>
      <c r="G16" s="1">
        <v>4</v>
      </c>
      <c r="H16" s="1">
        <v>3</v>
      </c>
      <c r="I16" s="1">
        <v>4</v>
      </c>
      <c r="J16" s="1">
        <v>4</v>
      </c>
    </row>
    <row r="17" spans="1:10" ht="22.5" customHeight="1" x14ac:dyDescent="0.25">
      <c r="A17" s="1" t="s">
        <v>0</v>
      </c>
      <c r="B17" s="1" t="s">
        <v>3</v>
      </c>
      <c r="C17" s="1" t="s">
        <v>4</v>
      </c>
      <c r="D17" s="1">
        <v>5</v>
      </c>
      <c r="E17" s="1">
        <v>2</v>
      </c>
      <c r="F17" s="1">
        <v>3</v>
      </c>
      <c r="G17" s="1">
        <v>2</v>
      </c>
      <c r="H17" s="1">
        <v>2</v>
      </c>
      <c r="I17" s="1">
        <v>2</v>
      </c>
      <c r="J17" s="1">
        <v>2</v>
      </c>
    </row>
    <row r="18" spans="1:10" ht="22.5" customHeight="1" x14ac:dyDescent="0.25">
      <c r="A18" s="1" t="s">
        <v>0</v>
      </c>
      <c r="B18" s="1" t="s">
        <v>3</v>
      </c>
      <c r="C18" s="1" t="s">
        <v>4</v>
      </c>
      <c r="D18" s="1">
        <v>5</v>
      </c>
      <c r="E18" s="1">
        <v>4</v>
      </c>
      <c r="F18" s="1">
        <v>4</v>
      </c>
      <c r="G18" s="1">
        <v>4</v>
      </c>
      <c r="H18" s="1">
        <v>4</v>
      </c>
      <c r="I18" s="1">
        <v>3</v>
      </c>
      <c r="J18" s="1">
        <v>4</v>
      </c>
    </row>
    <row r="19" spans="1:10" ht="22.5" customHeight="1" x14ac:dyDescent="0.25">
      <c r="A19" s="1" t="s">
        <v>7</v>
      </c>
      <c r="B19" s="1" t="s">
        <v>3</v>
      </c>
      <c r="C19" s="1" t="s">
        <v>5</v>
      </c>
      <c r="D19" s="1">
        <v>3</v>
      </c>
      <c r="E19" s="1">
        <v>1</v>
      </c>
      <c r="F19" s="1">
        <v>1</v>
      </c>
      <c r="G19" s="1">
        <v>3</v>
      </c>
      <c r="H19" s="1">
        <v>2</v>
      </c>
      <c r="I19" s="1">
        <v>2</v>
      </c>
      <c r="J19" s="1">
        <v>3</v>
      </c>
    </row>
    <row r="20" spans="1:10" ht="22.5" customHeight="1" x14ac:dyDescent="0.25">
      <c r="A20" s="1" t="s">
        <v>7</v>
      </c>
      <c r="B20" s="1" t="s">
        <v>1</v>
      </c>
      <c r="C20" s="1" t="s">
        <v>2</v>
      </c>
      <c r="D20" s="1">
        <v>2</v>
      </c>
      <c r="E20" s="1">
        <v>1</v>
      </c>
      <c r="F20" s="1">
        <v>3</v>
      </c>
      <c r="G20" s="1">
        <v>1</v>
      </c>
      <c r="H20" s="1">
        <v>2</v>
      </c>
      <c r="I20" s="1">
        <v>2</v>
      </c>
      <c r="J20" s="1">
        <v>3</v>
      </c>
    </row>
    <row r="21" spans="1:10" ht="22.5" customHeight="1" x14ac:dyDescent="0.25">
      <c r="A21" s="1" t="s">
        <v>8</v>
      </c>
      <c r="B21" s="1" t="s">
        <v>6</v>
      </c>
      <c r="C21" s="1" t="s">
        <v>4</v>
      </c>
      <c r="D21" s="1">
        <v>2</v>
      </c>
      <c r="E21" s="1">
        <v>5</v>
      </c>
      <c r="F21" s="1">
        <v>1</v>
      </c>
      <c r="G21" s="1">
        <v>1</v>
      </c>
      <c r="H21" s="1">
        <v>1</v>
      </c>
      <c r="I21" s="1">
        <v>5</v>
      </c>
      <c r="J21" s="1">
        <v>1</v>
      </c>
    </row>
    <row r="22" spans="1:10" ht="22.5" customHeight="1" x14ac:dyDescent="0.25">
      <c r="A22" s="1" t="s">
        <v>7</v>
      </c>
      <c r="B22" s="1" t="s">
        <v>3</v>
      </c>
      <c r="C22" s="1" t="s">
        <v>5</v>
      </c>
      <c r="D22" s="1">
        <v>2</v>
      </c>
      <c r="E22" s="1">
        <v>2</v>
      </c>
      <c r="F22" s="1">
        <v>2</v>
      </c>
      <c r="G22" s="1">
        <v>2</v>
      </c>
      <c r="H22" s="1">
        <v>2</v>
      </c>
      <c r="I22" s="1">
        <v>2</v>
      </c>
      <c r="J22" s="1">
        <v>2</v>
      </c>
    </row>
    <row r="23" spans="1:10" ht="22.5" customHeight="1" x14ac:dyDescent="0.25">
      <c r="A23" s="1" t="s">
        <v>7</v>
      </c>
      <c r="B23" s="1" t="s">
        <v>3</v>
      </c>
      <c r="C23" s="1" t="s">
        <v>4</v>
      </c>
      <c r="D23" s="1">
        <v>3</v>
      </c>
      <c r="E23" s="1">
        <v>3</v>
      </c>
      <c r="F23" s="1">
        <v>3</v>
      </c>
      <c r="G23" s="1">
        <v>3</v>
      </c>
      <c r="H23" s="1">
        <v>3</v>
      </c>
      <c r="I23" s="1">
        <v>3</v>
      </c>
      <c r="J23" s="1">
        <v>3</v>
      </c>
    </row>
    <row r="24" spans="1:10" ht="22.5" customHeight="1" x14ac:dyDescent="0.25">
      <c r="A24" s="1" t="s">
        <v>7</v>
      </c>
      <c r="B24" s="1" t="s">
        <v>1</v>
      </c>
      <c r="C24" s="1" t="s">
        <v>4</v>
      </c>
      <c r="D24" s="1">
        <v>5</v>
      </c>
      <c r="E24" s="1">
        <v>5</v>
      </c>
      <c r="F24" s="1">
        <v>5</v>
      </c>
      <c r="G24" s="1">
        <v>5</v>
      </c>
      <c r="H24" s="1">
        <v>5</v>
      </c>
      <c r="I24" s="1">
        <v>5</v>
      </c>
      <c r="J24" s="1">
        <v>5</v>
      </c>
    </row>
    <row r="25" spans="1:10" ht="22.5" customHeight="1" x14ac:dyDescent="0.25">
      <c r="A25" s="1" t="s">
        <v>7</v>
      </c>
      <c r="B25" s="1" t="s">
        <v>1</v>
      </c>
      <c r="C25" s="1" t="s">
        <v>2</v>
      </c>
      <c r="D25" s="1">
        <v>1</v>
      </c>
      <c r="E25" s="1">
        <v>5</v>
      </c>
      <c r="F25" s="1">
        <v>3</v>
      </c>
      <c r="G25" s="1">
        <v>1</v>
      </c>
      <c r="H25" s="1">
        <v>1</v>
      </c>
      <c r="I25" s="1">
        <v>1</v>
      </c>
      <c r="J25" s="1">
        <v>1</v>
      </c>
    </row>
    <row r="26" spans="1:10" ht="22.5" customHeight="1" x14ac:dyDescent="0.25">
      <c r="A26" s="1" t="s">
        <v>7</v>
      </c>
      <c r="B26" s="1" t="s">
        <v>1</v>
      </c>
      <c r="C26" s="1" t="s">
        <v>5</v>
      </c>
      <c r="D26" s="1">
        <v>3</v>
      </c>
      <c r="E26" s="1">
        <v>3</v>
      </c>
      <c r="F26" s="1">
        <v>1</v>
      </c>
      <c r="G26" s="1">
        <v>1</v>
      </c>
      <c r="H26" s="1">
        <v>2</v>
      </c>
      <c r="I26" s="1">
        <v>3</v>
      </c>
      <c r="J26" s="1">
        <v>3</v>
      </c>
    </row>
    <row r="27" spans="1:10" ht="22.5" customHeight="1" x14ac:dyDescent="0.25">
      <c r="A27" s="1" t="s">
        <v>8</v>
      </c>
      <c r="B27" s="1" t="s">
        <v>3</v>
      </c>
      <c r="C27" s="1" t="s">
        <v>2</v>
      </c>
      <c r="D27" s="1">
        <v>3</v>
      </c>
      <c r="E27" s="1">
        <v>2</v>
      </c>
      <c r="F27" s="1">
        <v>1</v>
      </c>
      <c r="G27" s="1">
        <v>1</v>
      </c>
      <c r="H27" s="1">
        <v>2</v>
      </c>
      <c r="I27" s="1">
        <v>2</v>
      </c>
      <c r="J27" s="1">
        <v>2</v>
      </c>
    </row>
    <row r="28" spans="1:10" ht="22.5" customHeight="1" x14ac:dyDescent="0.25">
      <c r="A28" s="1" t="s">
        <v>0</v>
      </c>
      <c r="B28" s="1" t="s">
        <v>3</v>
      </c>
      <c r="C28" s="1" t="s">
        <v>4</v>
      </c>
      <c r="D28" s="1">
        <v>4</v>
      </c>
      <c r="E28" s="1">
        <v>3</v>
      </c>
      <c r="F28" s="1">
        <v>4</v>
      </c>
      <c r="G28" s="1">
        <v>3</v>
      </c>
      <c r="H28" s="1">
        <v>4</v>
      </c>
      <c r="I28" s="1">
        <v>5</v>
      </c>
      <c r="J28" s="1">
        <v>5</v>
      </c>
    </row>
    <row r="29" spans="1:10" ht="22.5" customHeight="1" x14ac:dyDescent="0.25">
      <c r="A29" s="1" t="s">
        <v>8</v>
      </c>
      <c r="B29" s="1" t="s">
        <v>3</v>
      </c>
      <c r="C29" s="1" t="s">
        <v>2</v>
      </c>
      <c r="D29" s="1">
        <v>4</v>
      </c>
      <c r="E29" s="1">
        <v>2</v>
      </c>
      <c r="F29" s="1">
        <v>1</v>
      </c>
      <c r="G29" s="1">
        <v>1</v>
      </c>
      <c r="H29" s="1">
        <v>2</v>
      </c>
      <c r="I29" s="1">
        <v>3</v>
      </c>
      <c r="J29" s="1">
        <v>5</v>
      </c>
    </row>
    <row r="30" spans="1:10" ht="22.5" customHeight="1" x14ac:dyDescent="0.25">
      <c r="A30" s="1" t="s">
        <v>7</v>
      </c>
      <c r="B30" s="1" t="s">
        <v>6</v>
      </c>
      <c r="C30" s="1" t="s">
        <v>5</v>
      </c>
      <c r="D30" s="1">
        <v>3</v>
      </c>
      <c r="E30" s="1">
        <v>2</v>
      </c>
      <c r="F30" s="1">
        <v>2</v>
      </c>
      <c r="G30" s="1">
        <v>3</v>
      </c>
      <c r="H30" s="1">
        <v>1</v>
      </c>
      <c r="I30" s="1">
        <v>1</v>
      </c>
      <c r="J30" s="1">
        <v>4</v>
      </c>
    </row>
    <row r="31" spans="1:10" ht="22.5" customHeight="1" x14ac:dyDescent="0.25">
      <c r="A31" s="1" t="s">
        <v>9</v>
      </c>
      <c r="B31" s="1" t="s">
        <v>1</v>
      </c>
      <c r="C31" s="1" t="s">
        <v>4</v>
      </c>
      <c r="D31" s="1">
        <v>4</v>
      </c>
      <c r="E31" s="1">
        <v>2</v>
      </c>
      <c r="F31" s="1">
        <v>1</v>
      </c>
      <c r="G31" s="1">
        <v>2</v>
      </c>
      <c r="H31" s="1">
        <v>4</v>
      </c>
      <c r="I31" s="1">
        <v>4</v>
      </c>
      <c r="J31" s="1">
        <v>5</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Graph</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Kumar</cp:lastModifiedBy>
  <dcterms:modified xsi:type="dcterms:W3CDTF">2026-03-26T16:40:37Z</dcterms:modified>
</cp:coreProperties>
</file>